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álculo" sheetId="1" state="visible" r:id="rId3"/>
    <sheet name="Resumen" sheetId="2" state="visible" r:id="rId4"/>
    <sheet name="Tablas" sheetId="3" state="visible" r:id="rId5"/>
    <sheet name="Test PDF" sheetId="4" state="visible" r:id="rId6"/>
    <sheet name="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<sst xmlns="http://schemas.openxmlformats.org/spreadsheetml/2006/main" count="229" uniqueCount="198">
  <si>
    <t xml:space="preserve">PREVISIÓN DE CARGAS PARA SUMINISTROS EN BAJA TENSIÓN – ITC-BT 10</t>
  </si>
  <si>
    <t xml:space="preserve">Celdas amarillas con texto azul = datos a introducir. El resto son fórmulas. Datos cargados actualmente: ejemplo del PDF.</t>
  </si>
  <si>
    <t xml:space="preserve">1. VIVIENDAS (P1)</t>
  </si>
  <si>
    <t xml:space="preserve">Grado de electrificación</t>
  </si>
  <si>
    <t xml:space="preserve">Potencia a 230 V (W)</t>
  </si>
  <si>
    <t xml:space="preserve">Calibre IGA (A)</t>
  </si>
  <si>
    <t xml:space="preserve">Nº de viviendas</t>
  </si>
  <si>
    <t xml:space="preserve">Básica</t>
  </si>
  <si>
    <t xml:space="preserve">Elevada</t>
  </si>
  <si>
    <t xml:space="preserve">Total de viviendas (n)</t>
  </si>
  <si>
    <t xml:space="preserve">Potencia media por vivienda Pmedia (W)</t>
  </si>
  <si>
    <t xml:space="preserve">Coeficiente de simultaneidad Cs</t>
  </si>
  <si>
    <t xml:space="preserve">P1 – Potencia viviendas = Pmedia × Cs (W)</t>
  </si>
  <si>
    <t xml:space="preserve">2. SERVICIOS GENERALES (P2)</t>
  </si>
  <si>
    <t xml:space="preserve">Ascensores (× coef. 1,3)</t>
  </si>
  <si>
    <t xml:space="preserve">Tipo ITA (opcional)</t>
  </si>
  <si>
    <t xml:space="preserve">Potencia unitaria</t>
  </si>
  <si>
    <t xml:space="preserve">Unidad</t>
  </si>
  <si>
    <t xml:space="preserve">P (W)</t>
  </si>
  <si>
    <t xml:space="preserve">P × coef. (W)</t>
  </si>
  <si>
    <t xml:space="preserve">Ascensor 1</t>
  </si>
  <si>
    <t xml:space="preserve">CV</t>
  </si>
  <si>
    <t xml:space="preserve">Ascensor 2</t>
  </si>
  <si>
    <t xml:space="preserve">Ascensor 3</t>
  </si>
  <si>
    <t xml:space="preserve">Subtotal ascensores (W)</t>
  </si>
  <si>
    <t xml:space="preserve">Motores y otras cargas (el motor mayor × 1,25)</t>
  </si>
  <si>
    <t xml:space="preserve">¿Es motor?</t>
  </si>
  <si>
    <t xml:space="preserve">P motor (W)</t>
  </si>
  <si>
    <t xml:space="preserve">Grupo de presión</t>
  </si>
  <si>
    <t xml:space="preserve">Sí</t>
  </si>
  <si>
    <t xml:space="preserve">Depuradora</t>
  </si>
  <si>
    <t xml:space="preserve">Otros motores</t>
  </si>
  <si>
    <t xml:space="preserve">Otras cargas (no motor)</t>
  </si>
  <si>
    <t xml:space="preserve">No</t>
  </si>
  <si>
    <t xml:space="preserve">W</t>
  </si>
  <si>
    <t xml:space="preserve">Suma de potencias (W)</t>
  </si>
  <si>
    <t xml:space="preserve">Incremento del motor de mayor potencia (W)</t>
  </si>
  <si>
    <t xml:space="preserve">Subtotal motores y otras cargas (W)</t>
  </si>
  <si>
    <t xml:space="preserve">Alumbrado (lámparas de descarga × 1,8)</t>
  </si>
  <si>
    <t xml:space="preserve">Superficie (m²)</t>
  </si>
  <si>
    <t xml:space="preserve">Tipo de lámpara</t>
  </si>
  <si>
    <t xml:space="preserve">Potencia directa (W)</t>
  </si>
  <si>
    <t xml:space="preserve">P base (W)</t>
  </si>
  <si>
    <t xml:space="preserve">Portal y espacios comunes</t>
  </si>
  <si>
    <t xml:space="preserve">Fluorescencia/descarga</t>
  </si>
  <si>
    <t xml:space="preserve">Caja de escalera</t>
  </si>
  <si>
    <t xml:space="preserve">Alumbrado con potencia instalada conocida</t>
  </si>
  <si>
    <t xml:space="preserve">Subtotal alumbrado (W)</t>
  </si>
  <si>
    <t xml:space="preserve">P2 – Potencia servicios generales (W)</t>
  </si>
  <si>
    <t xml:space="preserve">3. LOCALES COMERCIALES, OFICINAS E INDUSTRIAS (P3)</t>
  </si>
  <si>
    <t xml:space="preserve">Descripción</t>
  </si>
  <si>
    <t xml:space="preserve">Tipo</t>
  </si>
  <si>
    <t xml:space="preserve">Previsión real (W) (si se conoce)</t>
  </si>
  <si>
    <t xml:space="preserve">Previsión por m² (W)</t>
  </si>
  <si>
    <t xml:space="preserve">Mínimo por abonado (W)</t>
  </si>
  <si>
    <t xml:space="preserve">P prevista (W)</t>
  </si>
  <si>
    <t xml:space="preserve">Local 1</t>
  </si>
  <si>
    <t xml:space="preserve">Comercial/oficina</t>
  </si>
  <si>
    <t xml:space="preserve">Local 2</t>
  </si>
  <si>
    <t xml:space="preserve">Local 3</t>
  </si>
  <si>
    <t xml:space="preserve">Local 4</t>
  </si>
  <si>
    <t xml:space="preserve">Local 5</t>
  </si>
  <si>
    <t xml:space="preserve">Local 6</t>
  </si>
  <si>
    <t xml:space="preserve">Local 7</t>
  </si>
  <si>
    <t xml:space="preserve">Local 8</t>
  </si>
  <si>
    <t xml:space="preserve">P3 – Potencia locales y oficinas (W)</t>
  </si>
  <si>
    <t xml:space="preserve">4. GARAJES (P4)</t>
  </si>
  <si>
    <t xml:space="preserve">Ventilación</t>
  </si>
  <si>
    <t xml:space="preserve">Densidad (W/m²)</t>
  </si>
  <si>
    <t xml:space="preserve">Mínimo (W)</t>
  </si>
  <si>
    <t xml:space="preserve">Garaje 1</t>
  </si>
  <si>
    <t xml:space="preserve">Forzada</t>
  </si>
  <si>
    <t xml:space="preserve">Garaje 2</t>
  </si>
  <si>
    <t xml:space="preserve">Natural</t>
  </si>
  <si>
    <t xml:space="preserve">Garaje 3</t>
  </si>
  <si>
    <t xml:space="preserve">P4 – Potencia garajes (W)</t>
  </si>
  <si>
    <t xml:space="preserve">5. INFRAESTRUCTURA DE RECARGA DE VEHÍCULOS ELÉCTRICOS – IRVE (P5)</t>
  </si>
  <si>
    <t xml:space="preserve">Nº total de plazas de aparcamiento</t>
  </si>
  <si>
    <t xml:space="preserve">Potencia mínima por plaza (W)</t>
  </si>
  <si>
    <t xml:space="preserve">Opción</t>
  </si>
  <si>
    <t xml:space="preserve">Plazas consideradas</t>
  </si>
  <si>
    <t xml:space="preserve">Cs</t>
  </si>
  <si>
    <t xml:space="preserve">P IRVE (W)</t>
  </si>
  <si>
    <t xml:space="preserve">Opción 1: todas las plazas, sin SPL</t>
  </si>
  <si>
    <t xml:space="preserve">Opción 2: todas las plazas, con SPL</t>
  </si>
  <si>
    <t xml:space="preserve">Opción 3: mínimo de plazas (10 %, sin conocer nº de tomas)</t>
  </si>
  <si>
    <t xml:space="preserve">RESUMEN DE PREVISIÓN DE CARGAS Y SECCIÓN DE LÍNEAS</t>
  </si>
  <si>
    <t xml:space="preserve">Todo son fórmulas enlazadas a la hoja 'Cálculo'. Intensidad trifásica: I = P / (√3 · U · cos φ).</t>
  </si>
  <si>
    <t xml:space="preserve">POTENCIAS DE LA FINCA (sin IRVE)</t>
  </si>
  <si>
    <t xml:space="preserve">P1 – Viviendas (W)</t>
  </si>
  <si>
    <t xml:space="preserve">P2 – Servicios generales (W)</t>
  </si>
  <si>
    <t xml:space="preserve">P3 – Locales comerciales, oficinas e industrias (W)</t>
  </si>
  <si>
    <t xml:space="preserve">P4 – Garajes (W)</t>
  </si>
  <si>
    <t xml:space="preserve">P FINCA = P1 + P2 + P3 + P4 (W)</t>
  </si>
  <si>
    <t xml:space="preserve">IRVE: COMPARATIVA DE OPCIONES Y SECCIÓN DE LA LÍNEA (cobre XLPE, ver Tablas)</t>
  </si>
  <si>
    <t xml:space="preserve">P TOTAL (W)</t>
  </si>
  <si>
    <t xml:space="preserve">I total (A)</t>
  </si>
  <si>
    <t xml:space="preserve">Sección línea total (mm²)</t>
  </si>
  <si>
    <t xml:space="preserve">I finca (A)</t>
  </si>
  <si>
    <t xml:space="preserve">Sección finca (mm²)</t>
  </si>
  <si>
    <t xml:space="preserve">I IRVE (A)</t>
  </si>
  <si>
    <t xml:space="preserve">Sección IRVE (mm²)</t>
  </si>
  <si>
    <t xml:space="preserve">1 – Sin SPL</t>
  </si>
  <si>
    <t xml:space="preserve">2 – Con SPL</t>
  </si>
  <si>
    <t xml:space="preserve">3 – Mínimo de plazas (10 %)</t>
  </si>
  <si>
    <t xml:space="preserve">Nota: en el PDF la opción 1 se resuelve con dos líneas separadas (IRVE y finca: columnas F–I); en las opciones 2 y 3 se usa una única línea con la corriente total (columnas D–E).</t>
  </si>
  <si>
    <t xml:space="preserve">TABLAS Y PARÁMETROS (REBT ITC-BT 10)</t>
  </si>
  <si>
    <t xml:space="preserve">Valores en azul = editables si cambia la normativa. Fuente: PDF 'ITC-BT 10 Previsión de cargas' (PLC Madrid) y REBT.</t>
  </si>
  <si>
    <t xml:space="preserve">PARÁMETROS</t>
  </si>
  <si>
    <t xml:space="preserve">Tensión de línea trifásica (V)</t>
  </si>
  <si>
    <t xml:space="preserve">Factor de potencia cos φ</t>
  </si>
  <si>
    <t xml:space="preserve">Equivalencia 1 CV (W)</t>
  </si>
  <si>
    <t xml:space="preserve">Coeficiente ascensores</t>
  </si>
  <si>
    <t xml:space="preserve">Coeficiente motor de mayor potencia</t>
  </si>
  <si>
    <t xml:space="preserve">Coeficiente lámparas de descarga (fluorescentes…)</t>
  </si>
  <si>
    <t xml:space="preserve">Comercial/oficina: densidad (W/m²)</t>
  </si>
  <si>
    <t xml:space="preserve">Comercial/oficina: mínimo por abonado (W a 230 V)</t>
  </si>
  <si>
    <t xml:space="preserve">Industria: densidad (W/m²)</t>
  </si>
  <si>
    <t xml:space="preserve">Industria: mínimo por abonado (W a 230 V)</t>
  </si>
  <si>
    <t xml:space="preserve">Garaje ventilación natural (W/m²)</t>
  </si>
  <si>
    <t xml:space="preserve">Garaje ventilación forzada (W/m²)</t>
  </si>
  <si>
    <t xml:space="preserve">Garaje: mínimo (W a 230 V)</t>
  </si>
  <si>
    <t xml:space="preserve">IRVE: potencia mínima por plaza (W)</t>
  </si>
  <si>
    <t xml:space="preserve">IRVE: % de plazas si se desconoce nº de tomas</t>
  </si>
  <si>
    <t xml:space="preserve">IRVE: Cs sin SPL</t>
  </si>
  <si>
    <t xml:space="preserve">IRVE: Cs con SPL</t>
  </si>
  <si>
    <t xml:space="preserve">Alumbrado portal/espacios comunes, incandescencia (W/m²)</t>
  </si>
  <si>
    <t xml:space="preserve">Alumbrado portal/espacios comunes, fluorescencia (W/m²)</t>
  </si>
  <si>
    <t xml:space="preserve">Alumbrado caja de escalera, incandescencia (W/m²)</t>
  </si>
  <si>
    <t xml:space="preserve">Alumbrado caja de escalera, fluorescencia (W/m²)</t>
  </si>
  <si>
    <t xml:space="preserve">Viviendas n&gt;21: incremento de Cs por vivienda</t>
  </si>
  <si>
    <t xml:space="preserve">COEFICIENTE DE SIMULTANEIDAD – VIVIENDAS</t>
  </si>
  <si>
    <t xml:space="preserve">ASCENSORES (ITC-BT 10, tabla ITA)</t>
  </si>
  <si>
    <t xml:space="preserve">Nº viviendas (n)</t>
  </si>
  <si>
    <t xml:space="preserve">Coeficiente de simultaneidad</t>
  </si>
  <si>
    <t xml:space="preserve">Tipo de aparato elevador</t>
  </si>
  <si>
    <t xml:space="preserve">Carga (kg)</t>
  </si>
  <si>
    <t xml:space="preserve">Nº personas</t>
  </si>
  <si>
    <t xml:space="preserve">Velocidad (m/s)</t>
  </si>
  <si>
    <t xml:space="preserve">Potencia (kW)</t>
  </si>
  <si>
    <t xml:space="preserve">ITA-1</t>
  </si>
  <si>
    <t xml:space="preserve">ITA-2</t>
  </si>
  <si>
    <t xml:space="preserve">ITA-3</t>
  </si>
  <si>
    <t xml:space="preserve">ITA-4</t>
  </si>
  <si>
    <t xml:space="preserve">ITA-5</t>
  </si>
  <si>
    <t xml:space="preserve">ITA-6</t>
  </si>
  <si>
    <t xml:space="preserve">n &gt; 21: Cs = 15,3 + (n − 21) × incremento (B25)</t>
  </si>
  <si>
    <t xml:space="preserve">INTENSIDAD ADMISIBLE – COBRE, 3 conductores cargados, aislamiento XLPE (columna 8b)</t>
  </si>
  <si>
    <t xml:space="preserve">Sección (mm²)</t>
  </si>
  <si>
    <t xml:space="preserve">Iz admisible (A)</t>
  </si>
  <si>
    <t xml:space="preserve">Tabla UNE-HD 60364-5-52 (pág. 314 del PDF). Columna elegida porque reproduce las secciones del ejemplo del PDF (35/70/70/50 mm²). Sustituir los valores B55:B69 si se usa otro método de instalación.</t>
  </si>
  <si>
    <t xml:space="preserve">TEST: COMPARACIÓN CON EL EJEMPLO DEL PDF</t>
  </si>
  <si>
    <t xml:space="preserve">Válido mientras la hoja 'Cálculo' contenga los datos del ejemplo (8 viv. básicas 5.750 W, 3 elevadas 9.200 W, ascensor 5 CV, grupo presión 1 CV, alumbrado 1.500 W, locales 50 y 30 m², garaje 240 m² forzada, 30 plazas).</t>
  </si>
  <si>
    <t xml:space="preserve">Concepto</t>
  </si>
  <si>
    <t xml:space="preserve">Valor en el PDF</t>
  </si>
  <si>
    <t xml:space="preserve">Valor en la planilla</t>
  </si>
  <si>
    <t xml:space="preserve">Diferencia</t>
  </si>
  <si>
    <t xml:space="preserve">Tolerancia</t>
  </si>
  <si>
    <t xml:space="preserve">Resultado</t>
  </si>
  <si>
    <t xml:space="preserve">Pmedia viviendas (W)</t>
  </si>
  <si>
    <t xml:space="preserve">Coeficiente de simultaneidad (11 viv.)</t>
  </si>
  <si>
    <t xml:space="preserve">P1 – Potencia viviendas (W)</t>
  </si>
  <si>
    <t xml:space="preserve">Ascensor 5 CV × 1,3 (W)</t>
  </si>
  <si>
    <t xml:space="preserve">Grupo de presión 1 CV × 1,25 (W)</t>
  </si>
  <si>
    <t xml:space="preserve">Alumbrado 1.500 W × 1,8 (W)</t>
  </si>
  <si>
    <t xml:space="preserve">P3 – Locales (W)</t>
  </si>
  <si>
    <t xml:space="preserve">P4 – Garaje (W)</t>
  </si>
  <si>
    <t xml:space="preserve">TOTAL finca (W)</t>
  </si>
  <si>
    <t xml:space="preserve">IRVE opción 1 (W)</t>
  </si>
  <si>
    <t xml:space="preserve">IRVE opción 2 (W)</t>
  </si>
  <si>
    <t xml:space="preserve">IRVE opción 3 (W)</t>
  </si>
  <si>
    <t xml:space="preserve">Total opción 1 (W)</t>
  </si>
  <si>
    <t xml:space="preserve">Total opción 2 (W)</t>
  </si>
  <si>
    <t xml:space="preserve">Total opción 3 (W)</t>
  </si>
  <si>
    <t xml:space="preserve">Intensidad opción 1 total (A)</t>
  </si>
  <si>
    <t xml:space="preserve">Intensidad IRVE opción 1 (A)</t>
  </si>
  <si>
    <t xml:space="preserve">Intensidad finca (A)</t>
  </si>
  <si>
    <t xml:space="preserve">Intensidad opción 2 (A)</t>
  </si>
  <si>
    <t xml:space="preserve">Intensidad opción 3 (A)</t>
  </si>
  <si>
    <t xml:space="preserve">Sección IRVE opción 1 (mm²)</t>
  </si>
  <si>
    <t xml:space="preserve">Sección finca opción 1 (mm²)</t>
  </si>
  <si>
    <t xml:space="preserve">Sección opción 2 (mm²)</t>
  </si>
  <si>
    <t xml:space="preserve">Sección opción 3 (mm²)</t>
  </si>
  <si>
    <t xml:space="preserve">RESULTADO GLOBAL</t>
  </si>
  <si>
    <t xml:space="preserve">Las pequeñas diferencias (&lt; 1 W) vienen de que el PDF redondea Pmedia a 6.690,90 W; la planilla usa el valor exacto (6.690,909… W).</t>
  </si>
  <si>
    <t xml:space="preserve">NOTAS Y SUPUESTOS</t>
  </si>
  <si>
    <t xml:space="preserve">CÓMO USAR: introduce los datos en las celdas amarillas de la hoja 'Cálculo' (viviendas, servicios generales, locales, garajes, nº de plazas IRVE). Los resultados y las secciones aparecen en 'Resumen'.</t>
  </si>
  <si>
    <t xml:space="preserve">FÓRMULAS (ITC-BT 10): P total = Servicios generales + Garajes + Viviendas + Locales + IRVE.</t>
  </si>
  <si>
    <t xml:space="preserve">Viviendas: Pmedia = Σ(nº × P IGA) / nº total; P viviendas = Pmedia × Cs (tabla de simultaneidad; n&gt;21: 15,3 + (n−21)×0,5). Se admiten los cinco niveles de electrificación (5.750 a 14.490 W).</t>
  </si>
  <si>
    <t xml:space="preserve">Servicios generales: ascensores × 1,3; motores: se suma su potencia y se añade un 25 % solo al de mayor potencia; alumbrado de lámparas de descarga × 1,8. Con un único motor da lo mismo que el PDF (su esquema aplica 1,25 al grupo). Con varios motores, revisa el criterio con tu normativa/profesor.</t>
  </si>
  <si>
    <t xml:space="preserve">Alumbrado: puedes dar la superficie (portal, escalera: W/m² de la tabla) o una potencia instalada conocida (si hay potencia directa, tiene prioridad).</t>
  </si>
  <si>
    <t xml:space="preserve">Locales/oficinas: P = máx(previsión real, 100 W/m² × superficie, mínimo 3.450 W). Industrias: 125 W/m², mínimo 10.350 W.</t>
  </si>
  <si>
    <t xml:space="preserve">Garajes: 10 W/m² (ventilación natural) o 20 W/m² (forzada), mínimo 3.450 W.</t>
  </si>
  <si>
    <t xml:space="preserve">IRVE: 3.680 W por plaza. Opción 1: todas las plazas, Cs = 1 (sin SPL). Opción 2: todas las plazas, Cs = 0,3 (con SPL). Opción 3: 10 % de las plazas (redondeo hacia arriba), Cs = 1, como en los cálculos numéricos del PDF.</t>
  </si>
  <si>
    <t xml:space="preserve">Intensidad: trifásica 400 V y cos φ = 1 (como en el PDF: 193.610 W → 279 A). Se pueden cambiar en 'Tablas'.</t>
  </si>
  <si>
    <t xml:space="preserve">Sección: primera sección de cobre cuya Iz admisible ≥ I calculada. Se usa la columna 8b (3 conductores XLPE) de la tabla UNE-HD 60364-5-52, porque reproduce las secciones del ejemplo (la tabla del PDF está parcialmente tapada por una marca de agua). Modifica 'Tablas'!B55:B69 si tu instalación usa otro método. No incluye factores de corrección ni caída de tensión.</t>
  </si>
  <si>
    <t xml:space="preserve">No se aplica el 10 % adicional que el esquema del PDF menciona para nueva edificación (ITC-BT 52, 3.2), porque los cálculos del ejemplo tampoco lo incluyen.</t>
  </si>
  <si>
    <t xml:space="preserve">Herramienta de apoyo para estudio/cálculo previo: verifica siempre con el REBT vigente.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</si>
</sst>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-#,##0;0"/>
    <numFmt numFmtId="166" formatCode="0&quot; A&quot;"/>
    <numFmt numFmtId="167" formatCode="0"/>
    <numFmt numFmtId="168" formatCode="#,##0.00"/>
    <numFmt numFmtId="169" formatCode="0.0"/>
    <numFmt numFmtId="170" formatCode="#,##0.0"/>
    <numFmt numFmtId="171" formatCode="General"/>
    <numFmt numFmtId="172" formatCode="0%"/>
    <numFmt numFmtId="173" formatCode="0.0##"/>
    <numFmt numFmtId="174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2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5750</v>
      </c>
      <c r="C6" s="7" t="n">
        <v>25</v>
      </c>
      <c r="D6" s="8" t="n">
        <v>8</v>
      </c>
    </row>
    <row r="7" customFormat="false" ht="15" hidden="false" customHeight="false" outlineLevel="0" collapsed="false">
      <c r="A7" s="5" t="s">
        <v>7</v>
      </c>
      <c r="B7" s="6" t="n">
        <v>7360</v>
      </c>
      <c r="C7" s="7" t="n">
        <v>32</v>
      </c>
      <c r="D7" s="8" t="n">
        <v>0</v>
      </c>
    </row>
    <row r="8" customFormat="false" ht="15" hidden="false" customHeight="false" outlineLevel="0" collapsed="false">
      <c r="A8" s="5" t="s">
        <v>8</v>
      </c>
      <c r="B8" s="6" t="n">
        <v>9200</v>
      </c>
      <c r="C8" s="7" t="n">
        <v>40</v>
      </c>
      <c r="D8" s="8" t="n">
        <v>3</v>
      </c>
    </row>
    <row r="9" customFormat="false" ht="15" hidden="false" customHeight="false" outlineLevel="0" collapsed="false">
      <c r="A9" s="5" t="s">
        <v>8</v>
      </c>
      <c r="B9" s="6" t="n">
        <v>11500</v>
      </c>
      <c r="C9" s="7" t="n">
        <v>50</v>
      </c>
      <c r="D9" s="8" t="n">
        <v>0</v>
      </c>
    </row>
    <row r="10" customFormat="false" ht="15" hidden="false" customHeight="false" outlineLevel="0" collapsed="false">
      <c r="A10" s="5" t="s">
        <v>8</v>
      </c>
      <c r="B10" s="6" t="n">
        <v>14490</v>
      </c>
      <c r="C10" s="7" t="n">
        <v>63</v>
      </c>
      <c r="D10" s="8" t="n">
        <v>0</v>
      </c>
    </row>
    <row r="11" customFormat="false" ht="15" hidden="false" customHeight="false" outlineLevel="0" collapsed="false">
      <c r="A11" s="9" t="s">
        <v>9</v>
      </c>
      <c r="D11" s="10" t="n">
        <f aca="false">SUM(D6:D10)</f>
        <v>11</v>
      </c>
    </row>
    <row r="12" customFormat="false" ht="15" hidden="false" customHeight="false" outlineLevel="0" collapsed="false">
      <c r="A12" s="5" t="s">
        <v>10</v>
      </c>
      <c r="D12" s="11" t="n">
        <f aca="false">IF(D11=0,0,SUMPRODUCT(B6:B10,D6:D10)/D11)</f>
        <v>6690.90909090909</v>
      </c>
    </row>
    <row r="13" customFormat="false" ht="15" hidden="false" customHeight="false" outlineLevel="0" collapsed="false">
      <c r="A13" s="5" t="s">
        <v>11</v>
      </c>
      <c r="D13" s="12" t="n">
        <f aca="false">IF(D11=0,0,IF(D11&lt;=21,INDEX(Tablas!B29:B49,D11),Tablas!B49+(D11-21)*Tablas!B25))</f>
        <v>9.2</v>
      </c>
    </row>
    <row r="14" customFormat="false" ht="15" hidden="false" customHeight="false" outlineLevel="0" collapsed="false">
      <c r="A14" s="9" t="s">
        <v>12</v>
      </c>
      <c r="D14" s="13" t="n">
        <f aca="false">D12*D13</f>
        <v>61556.3636363636</v>
      </c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  <c r="F17" s="3"/>
      <c r="G17" s="3"/>
    </row>
    <row r="18" customFormat="false" ht="30" hidden="false" customHeight="true" outlineLevel="0" collapsed="false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</row>
    <row r="19" customFormat="false" ht="15" hidden="false" customHeight="false" outlineLevel="0" collapsed="false">
      <c r="A19" s="5" t="s">
        <v>20</v>
      </c>
      <c r="B19" s="14"/>
      <c r="C19" s="15" t="n">
        <v>5</v>
      </c>
      <c r="D19" s="14" t="s">
        <v>21</v>
      </c>
      <c r="E19" s="6" t="n">
        <f aca="false">IF(B19&lt;&gt;"",INDEX(Tablas!$H$29:$H$34,MATCH(B19,Tablas!$D$29:$D$34,0))*1000,C19*IF(D19="CV",Tablas!$B$6,IF(D19="kW",1000,1)))</f>
        <v>3680</v>
      </c>
      <c r="F19" s="6" t="n">
        <f aca="false">E19*Tablas!$B$7</f>
        <v>4784</v>
      </c>
    </row>
    <row r="20" customFormat="false" ht="15" hidden="false" customHeight="false" outlineLevel="0" collapsed="false">
      <c r="A20" s="5" t="s">
        <v>22</v>
      </c>
      <c r="B20" s="14"/>
      <c r="C20" s="15"/>
      <c r="D20" s="14" t="s">
        <v>21</v>
      </c>
      <c r="E20" s="6" t="n">
        <f aca="false">IF(B20&lt;&gt;"",INDEX(Tablas!$H$29:$H$34,MATCH(B20,Tablas!$D$29:$D$34,0))*1000,C20*IF(D20="CV",Tablas!$B$6,IF(D20="kW",1000,1)))</f>
        <v>0</v>
      </c>
      <c r="F20" s="6" t="n">
        <f aca="false">E20*Tablas!$B$7</f>
        <v>0</v>
      </c>
    </row>
    <row r="21" customFormat="false" ht="15" hidden="false" customHeight="false" outlineLevel="0" collapsed="false">
      <c r="A21" s="5" t="s">
        <v>23</v>
      </c>
      <c r="B21" s="14"/>
      <c r="C21" s="15"/>
      <c r="D21" s="14" t="s">
        <v>21</v>
      </c>
      <c r="E21" s="6" t="n">
        <f aca="false">IF(B21&lt;&gt;"",INDEX(Tablas!$H$29:$H$34,MATCH(B21,Tablas!$D$29:$D$34,0))*1000,C21*IF(D21="CV",Tablas!$B$6,IF(D21="kW",1000,1)))</f>
        <v>0</v>
      </c>
      <c r="F21" s="6" t="n">
        <f aca="false">E21*Tablas!$B$7</f>
        <v>0</v>
      </c>
    </row>
    <row r="22" customFormat="false" ht="15" hidden="false" customHeight="false" outlineLevel="0" collapsed="false">
      <c r="A22" s="9" t="s">
        <v>24</v>
      </c>
      <c r="F22" s="16" t="n">
        <f aca="false">SUM(F19:F21)</f>
        <v>4784</v>
      </c>
    </row>
    <row r="24" customFormat="false" ht="30" hidden="false" customHeight="true" outlineLevel="0" collapsed="false">
      <c r="A24" s="4" t="s">
        <v>25</v>
      </c>
      <c r="B24" s="4" t="s">
        <v>26</v>
      </c>
      <c r="C24" s="4" t="s">
        <v>16</v>
      </c>
      <c r="D24" s="4" t="s">
        <v>17</v>
      </c>
      <c r="E24" s="4" t="s">
        <v>18</v>
      </c>
      <c r="F24" s="4" t="s">
        <v>27</v>
      </c>
    </row>
    <row r="25" customFormat="false" ht="15" hidden="false" customHeight="false" outlineLevel="0" collapsed="false">
      <c r="A25" s="5" t="s">
        <v>28</v>
      </c>
      <c r="B25" s="14" t="s">
        <v>29</v>
      </c>
      <c r="C25" s="15" t="n">
        <v>1</v>
      </c>
      <c r="D25" s="14" t="s">
        <v>21</v>
      </c>
      <c r="E25" s="6" t="n">
        <f aca="false">C25*IF(D25="CV",Tablas!$B$6,IF(D25="kW",1000,1))</f>
        <v>736</v>
      </c>
      <c r="F25" s="6" t="n">
        <f aca="false">IF(B25="Sí",E25,0)</f>
        <v>736</v>
      </c>
    </row>
    <row r="26" customFormat="false" ht="15" hidden="false" customHeight="false" outlineLevel="0" collapsed="false">
      <c r="A26" s="5" t="s">
        <v>30</v>
      </c>
      <c r="B26" s="14" t="s">
        <v>29</v>
      </c>
      <c r="C26" s="15"/>
      <c r="D26" s="14" t="s">
        <v>21</v>
      </c>
      <c r="E26" s="6" t="n">
        <f aca="false">C26*IF(D26="CV",Tablas!$B$6,IF(D26="kW",1000,1))</f>
        <v>0</v>
      </c>
      <c r="F26" s="6" t="n">
        <f aca="false">IF(B26="Sí",E26,0)</f>
        <v>0</v>
      </c>
    </row>
    <row r="27" customFormat="false" ht="15" hidden="false" customHeight="false" outlineLevel="0" collapsed="false">
      <c r="A27" s="5" t="s">
        <v>31</v>
      </c>
      <c r="B27" s="14" t="s">
        <v>29</v>
      </c>
      <c r="C27" s="15"/>
      <c r="D27" s="14" t="s">
        <v>21</v>
      </c>
      <c r="E27" s="6" t="n">
        <f aca="false">C27*IF(D27="CV",Tablas!$B$6,IF(D27="kW",1000,1))</f>
        <v>0</v>
      </c>
      <c r="F27" s="6" t="n">
        <f aca="false">IF(B27="Sí",E27,0)</f>
        <v>0</v>
      </c>
    </row>
    <row r="28" customFormat="false" ht="15" hidden="false" customHeight="false" outlineLevel="0" collapsed="false">
      <c r="A28" s="5" t="s">
        <v>32</v>
      </c>
      <c r="B28" s="14" t="s">
        <v>33</v>
      </c>
      <c r="C28" s="15"/>
      <c r="D28" s="14" t="s">
        <v>34</v>
      </c>
      <c r="E28" s="6" t="n">
        <f aca="false">C28*IF(D28="CV",Tablas!$B$6,IF(D28="kW",1000,1))</f>
        <v>0</v>
      </c>
      <c r="F28" s="6" t="n">
        <f aca="false">IF(B28="Sí",E28,0)</f>
        <v>0</v>
      </c>
    </row>
    <row r="29" customFormat="false" ht="15" hidden="false" customHeight="false" outlineLevel="0" collapsed="false">
      <c r="A29" s="5" t="s">
        <v>35</v>
      </c>
      <c r="E29" s="6" t="n">
        <f aca="false">SUM(E25:E28)</f>
        <v>736</v>
      </c>
    </row>
    <row r="30" customFormat="false" ht="15" hidden="false" customHeight="false" outlineLevel="0" collapsed="false">
      <c r="A30" s="5" t="s">
        <v>36</v>
      </c>
      <c r="E30" s="6" t="n">
        <f aca="false">(Tablas!B8-1)*MAX(F25:F28)</f>
        <v>184</v>
      </c>
    </row>
    <row r="31" customFormat="false" ht="15" hidden="false" customHeight="false" outlineLevel="0" collapsed="false">
      <c r="A31" s="9" t="s">
        <v>37</v>
      </c>
      <c r="E31" s="16" t="n">
        <f aca="false">E29+E30</f>
        <v>920</v>
      </c>
    </row>
    <row r="33" customFormat="false" ht="30" hidden="false" customHeight="true" outlineLevel="0" collapsed="false">
      <c r="A33" s="4" t="s">
        <v>38</v>
      </c>
      <c r="B33" s="4" t="s">
        <v>39</v>
      </c>
      <c r="C33" s="4" t="s">
        <v>40</v>
      </c>
      <c r="D33" s="4" t="s">
        <v>41</v>
      </c>
      <c r="E33" s="4" t="s">
        <v>42</v>
      </c>
      <c r="F33" s="4" t="s">
        <v>19</v>
      </c>
    </row>
    <row r="34" customFormat="false" ht="15" hidden="false" customHeight="false" outlineLevel="0" collapsed="false">
      <c r="A34" s="5" t="s">
        <v>43</v>
      </c>
      <c r="B34" s="17"/>
      <c r="C34" s="14" t="s">
        <v>44</v>
      </c>
      <c r="D34" s="18"/>
      <c r="E34" s="6" t="n">
        <f aca="false">IF(D34&gt;0,D34,B34*IF(C34="Incandescencia",Tablas!$B$21,Tablas!$B$22))</f>
        <v>0</v>
      </c>
      <c r="F34" s="6" t="n">
        <f aca="false">E34*IF(C34="Incandescencia",1,Tablas!$B$9)</f>
        <v>0</v>
      </c>
    </row>
    <row r="35" customFormat="false" ht="15" hidden="false" customHeight="false" outlineLevel="0" collapsed="false">
      <c r="A35" s="5" t="s">
        <v>45</v>
      </c>
      <c r="B35" s="17"/>
      <c r="C35" s="14" t="s">
        <v>44</v>
      </c>
      <c r="D35" s="18"/>
      <c r="E35" s="6" t="n">
        <f aca="false">IF(D35&gt;0,D35,B35*IF(C35="Incandescencia",Tablas!$B$23,Tablas!$B$24))</f>
        <v>0</v>
      </c>
      <c r="F35" s="6" t="n">
        <f aca="false">E35*IF(C35="Incandescencia",1,Tablas!$B$9)</f>
        <v>0</v>
      </c>
    </row>
    <row r="36" customFormat="false" ht="15" hidden="false" customHeight="false" outlineLevel="0" collapsed="false">
      <c r="A36" s="5" t="s">
        <v>46</v>
      </c>
      <c r="B36" s="17"/>
      <c r="C36" s="14" t="s">
        <v>44</v>
      </c>
      <c r="D36" s="18" t="n">
        <v>1500</v>
      </c>
      <c r="E36" s="6" t="n">
        <f aca="false">D36</f>
        <v>1500</v>
      </c>
      <c r="F36" s="6" t="n">
        <f aca="false">E36*IF(C36="Incandescencia",1,Tablas!$B$9)</f>
        <v>2700</v>
      </c>
    </row>
    <row r="37" customFormat="false" ht="15" hidden="false" customHeight="false" outlineLevel="0" collapsed="false">
      <c r="A37" s="9" t="s">
        <v>47</v>
      </c>
      <c r="F37" s="16" t="n">
        <f aca="false">SUM(F34:F36)</f>
        <v>2700</v>
      </c>
    </row>
    <row r="39" customFormat="false" ht="15" hidden="false" customHeight="false" outlineLevel="0" collapsed="false">
      <c r="A39" s="9" t="s">
        <v>48</v>
      </c>
      <c r="F39" s="19" t="n">
        <f aca="false">F22+E31+F37</f>
        <v>8404</v>
      </c>
    </row>
    <row r="42" customFormat="false" ht="15" hidden="false" customHeight="false" outlineLevel="0" collapsed="false">
      <c r="A42" s="3" t="s">
        <v>49</v>
      </c>
      <c r="B42" s="3"/>
      <c r="C42" s="3"/>
      <c r="D42" s="3"/>
      <c r="E42" s="3"/>
      <c r="F42" s="3"/>
      <c r="G42" s="3"/>
    </row>
    <row r="43" customFormat="false" ht="30" hidden="false" customHeight="true" outlineLevel="0" collapsed="false">
      <c r="A43" s="4" t="s">
        <v>50</v>
      </c>
      <c r="B43" s="4" t="s">
        <v>51</v>
      </c>
      <c r="C43" s="4" t="s">
        <v>39</v>
      </c>
      <c r="D43" s="4" t="s">
        <v>52</v>
      </c>
      <c r="E43" s="4" t="s">
        <v>53</v>
      </c>
      <c r="F43" s="4" t="s">
        <v>54</v>
      </c>
      <c r="G43" s="4" t="s">
        <v>55</v>
      </c>
    </row>
    <row r="44" customFormat="false" ht="15" hidden="false" customHeight="false" outlineLevel="0" collapsed="false">
      <c r="A44" s="14" t="s">
        <v>56</v>
      </c>
      <c r="B44" s="14" t="s">
        <v>57</v>
      </c>
      <c r="C44" s="17" t="n">
        <v>50</v>
      </c>
      <c r="D44" s="18"/>
      <c r="E44" s="6" t="n">
        <f aca="false">C44*IF(B44="Industria",Tablas!$B$12,Tablas!$B$10)</f>
        <v>5000</v>
      </c>
      <c r="F44" s="6" t="n">
        <f aca="false">IF(B44="Industria",Tablas!$B$13,Tablas!$B$11)</f>
        <v>3450</v>
      </c>
      <c r="G44" s="6" t="n">
        <f aca="false">IF(AND(C44=0,D44=0),0,MAX(D44,E44,F44))</f>
        <v>5000</v>
      </c>
    </row>
    <row r="45" customFormat="false" ht="15" hidden="false" customHeight="false" outlineLevel="0" collapsed="false">
      <c r="A45" s="14" t="s">
        <v>58</v>
      </c>
      <c r="B45" s="14" t="s">
        <v>57</v>
      </c>
      <c r="C45" s="17" t="n">
        <v>30</v>
      </c>
      <c r="D45" s="18"/>
      <c r="E45" s="6" t="n">
        <f aca="false">C45*IF(B45="Industria",Tablas!$B$12,Tablas!$B$10)</f>
        <v>3000</v>
      </c>
      <c r="F45" s="6" t="n">
        <f aca="false">IF(B45="Industria",Tablas!$B$13,Tablas!$B$11)</f>
        <v>3450</v>
      </c>
      <c r="G45" s="6" t="n">
        <f aca="false">IF(AND(C45=0,D45=0),0,MAX(D45,E45,F45))</f>
        <v>3450</v>
      </c>
    </row>
    <row r="46" customFormat="false" ht="15" hidden="false" customHeight="false" outlineLevel="0" collapsed="false">
      <c r="A46" s="14" t="s">
        <v>59</v>
      </c>
      <c r="B46" s="14" t="s">
        <v>57</v>
      </c>
      <c r="C46" s="17"/>
      <c r="D46" s="18"/>
      <c r="E46" s="6" t="n">
        <f aca="false">C46*IF(B46="Industria",Tablas!$B$12,Tablas!$B$10)</f>
        <v>0</v>
      </c>
      <c r="F46" s="6" t="n">
        <f aca="false">IF(B46="Industria",Tablas!$B$13,Tablas!$B$11)</f>
        <v>3450</v>
      </c>
      <c r="G46" s="6" t="n">
        <f aca="false">IF(AND(C46=0,D46=0),0,MAX(D46,E46,F46))</f>
        <v>0</v>
      </c>
    </row>
    <row r="47" customFormat="false" ht="15" hidden="false" customHeight="false" outlineLevel="0" collapsed="false">
      <c r="A47" s="14" t="s">
        <v>60</v>
      </c>
      <c r="B47" s="14" t="s">
        <v>57</v>
      </c>
      <c r="C47" s="17"/>
      <c r="D47" s="18"/>
      <c r="E47" s="6" t="n">
        <f aca="false">C47*IF(B47="Industria",Tablas!$B$12,Tablas!$B$10)</f>
        <v>0</v>
      </c>
      <c r="F47" s="6" t="n">
        <f aca="false">IF(B47="Industria",Tablas!$B$13,Tablas!$B$11)</f>
        <v>3450</v>
      </c>
      <c r="G47" s="6" t="n">
        <f aca="false">IF(AND(C47=0,D47=0),0,MAX(D47,E47,F47))</f>
        <v>0</v>
      </c>
    </row>
    <row r="48" customFormat="false" ht="15" hidden="false" customHeight="false" outlineLevel="0" collapsed="false">
      <c r="A48" s="14" t="s">
        <v>61</v>
      </c>
      <c r="B48" s="14" t="s">
        <v>57</v>
      </c>
      <c r="C48" s="17"/>
      <c r="D48" s="18"/>
      <c r="E48" s="6" t="n">
        <f aca="false">C48*IF(B48="Industria",Tablas!$B$12,Tablas!$B$10)</f>
        <v>0</v>
      </c>
      <c r="F48" s="6" t="n">
        <f aca="false">IF(B48="Industria",Tablas!$B$13,Tablas!$B$11)</f>
        <v>3450</v>
      </c>
      <c r="G48" s="6" t="n">
        <f aca="false">IF(AND(C48=0,D48=0),0,MAX(D48,E48,F48))</f>
        <v>0</v>
      </c>
    </row>
    <row r="49" customFormat="false" ht="15" hidden="false" customHeight="false" outlineLevel="0" collapsed="false">
      <c r="A49" s="14" t="s">
        <v>62</v>
      </c>
      <c r="B49" s="14" t="s">
        <v>57</v>
      </c>
      <c r="C49" s="17"/>
      <c r="D49" s="18"/>
      <c r="E49" s="6" t="n">
        <f aca="false">C49*IF(B49="Industria",Tablas!$B$12,Tablas!$B$10)</f>
        <v>0</v>
      </c>
      <c r="F49" s="6" t="n">
        <f aca="false">IF(B49="Industria",Tablas!$B$13,Tablas!$B$11)</f>
        <v>3450</v>
      </c>
      <c r="G49" s="6" t="n">
        <f aca="false">IF(AND(C49=0,D49=0),0,MAX(D49,E49,F49))</f>
        <v>0</v>
      </c>
    </row>
    <row r="50" customFormat="false" ht="15" hidden="false" customHeight="false" outlineLevel="0" collapsed="false">
      <c r="A50" s="14" t="s">
        <v>63</v>
      </c>
      <c r="B50" s="14" t="s">
        <v>57</v>
      </c>
      <c r="C50" s="17"/>
      <c r="D50" s="18"/>
      <c r="E50" s="6" t="n">
        <f aca="false">C50*IF(B50="Industria",Tablas!$B$12,Tablas!$B$10)</f>
        <v>0</v>
      </c>
      <c r="F50" s="6" t="n">
        <f aca="false">IF(B50="Industria",Tablas!$B$13,Tablas!$B$11)</f>
        <v>3450</v>
      </c>
      <c r="G50" s="6" t="n">
        <f aca="false">IF(AND(C50=0,D50=0),0,MAX(D50,E50,F50))</f>
        <v>0</v>
      </c>
    </row>
    <row r="51" customFormat="false" ht="15" hidden="false" customHeight="false" outlineLevel="0" collapsed="false">
      <c r="A51" s="14" t="s">
        <v>64</v>
      </c>
      <c r="B51" s="14" t="s">
        <v>57</v>
      </c>
      <c r="C51" s="17"/>
      <c r="D51" s="18"/>
      <c r="E51" s="6" t="n">
        <f aca="false">C51*IF(B51="Industria",Tablas!$B$12,Tablas!$B$10)</f>
        <v>0</v>
      </c>
      <c r="F51" s="6" t="n">
        <f aca="false">IF(B51="Industria",Tablas!$B$13,Tablas!$B$11)</f>
        <v>3450</v>
      </c>
      <c r="G51" s="6" t="n">
        <f aca="false">IF(AND(C51=0,D51=0),0,MAX(D51,E51,F51))</f>
        <v>0</v>
      </c>
    </row>
    <row r="52" customFormat="false" ht="15" hidden="false" customHeight="false" outlineLevel="0" collapsed="false">
      <c r="A52" s="9" t="s">
        <v>65</v>
      </c>
      <c r="G52" s="19" t="n">
        <f aca="false">SUM(G44:G51)</f>
        <v>8450</v>
      </c>
    </row>
    <row r="55" customFormat="false" ht="15" hidden="false" customHeight="false" outlineLevel="0" collapsed="false">
      <c r="A55" s="3" t="s">
        <v>66</v>
      </c>
      <c r="B55" s="3"/>
      <c r="C55" s="3"/>
      <c r="D55" s="3"/>
      <c r="E55" s="3"/>
      <c r="F55" s="3"/>
      <c r="G55" s="3"/>
    </row>
    <row r="56" customFormat="false" ht="30" hidden="false" customHeight="true" outlineLevel="0" collapsed="false">
      <c r="A56" s="4" t="s">
        <v>50</v>
      </c>
      <c r="B56" s="4" t="s">
        <v>67</v>
      </c>
      <c r="C56" s="4" t="s">
        <v>39</v>
      </c>
      <c r="D56" s="4" t="s">
        <v>68</v>
      </c>
      <c r="E56" s="4" t="s">
        <v>69</v>
      </c>
      <c r="F56" s="4" t="s">
        <v>55</v>
      </c>
    </row>
    <row r="57" customFormat="false" ht="15" hidden="false" customHeight="false" outlineLevel="0" collapsed="false">
      <c r="A57" s="14" t="s">
        <v>70</v>
      </c>
      <c r="B57" s="14" t="s">
        <v>71</v>
      </c>
      <c r="C57" s="17" t="n">
        <v>240</v>
      </c>
      <c r="D57" s="6" t="n">
        <f aca="false">IF(B57="Natural",Tablas!$B$14,Tablas!$B$15)</f>
        <v>20</v>
      </c>
      <c r="E57" s="6" t="n">
        <f aca="false">Tablas!$B$16</f>
        <v>3450</v>
      </c>
      <c r="F57" s="6" t="n">
        <f aca="false">IF(C57=0,0,MAX(C57*D57,E57))</f>
        <v>4800</v>
      </c>
    </row>
    <row r="58" customFormat="false" ht="15" hidden="false" customHeight="false" outlineLevel="0" collapsed="false">
      <c r="A58" s="14" t="s">
        <v>72</v>
      </c>
      <c r="B58" s="14" t="s">
        <v>73</v>
      </c>
      <c r="C58" s="17"/>
      <c r="D58" s="6" t="n">
        <f aca="false">IF(B58="Natural",Tablas!$B$14,Tablas!$B$15)</f>
        <v>10</v>
      </c>
      <c r="E58" s="6" t="n">
        <f aca="false">Tablas!$B$16</f>
        <v>3450</v>
      </c>
      <c r="F58" s="6" t="n">
        <f aca="false">IF(C58=0,0,MAX(C58*D58,E58))</f>
        <v>0</v>
      </c>
    </row>
    <row r="59" customFormat="false" ht="15" hidden="false" customHeight="false" outlineLevel="0" collapsed="false">
      <c r="A59" s="14" t="s">
        <v>74</v>
      </c>
      <c r="B59" s="14" t="s">
        <v>73</v>
      </c>
      <c r="C59" s="17"/>
      <c r="D59" s="6" t="n">
        <f aca="false">IF(B59="Natural",Tablas!$B$14,Tablas!$B$15)</f>
        <v>10</v>
      </c>
      <c r="E59" s="6" t="n">
        <f aca="false">Tablas!$B$16</f>
        <v>3450</v>
      </c>
      <c r="F59" s="6" t="n">
        <f aca="false">IF(C59=0,0,MAX(C59*D59,E59))</f>
        <v>0</v>
      </c>
    </row>
    <row r="60" customFormat="false" ht="15" hidden="false" customHeight="false" outlineLevel="0" collapsed="false">
      <c r="A60" s="9" t="s">
        <v>75</v>
      </c>
      <c r="F60" s="19" t="n">
        <f aca="false">SUM(F57:F59)</f>
        <v>4800</v>
      </c>
    </row>
    <row r="63" customFormat="false" ht="15" hidden="false" customHeight="false" outlineLevel="0" collapsed="false">
      <c r="A63" s="3" t="s">
        <v>76</v>
      </c>
      <c r="B63" s="3"/>
      <c r="C63" s="3"/>
      <c r="D63" s="3"/>
      <c r="E63" s="3"/>
      <c r="F63" s="3"/>
      <c r="G63" s="3"/>
    </row>
    <row r="64" customFormat="false" ht="15" hidden="false" customHeight="false" outlineLevel="0" collapsed="false">
      <c r="A64" s="5" t="s">
        <v>77</v>
      </c>
      <c r="D64" s="8" t="n">
        <v>30</v>
      </c>
    </row>
    <row r="65" customFormat="false" ht="15" hidden="false" customHeight="false" outlineLevel="0" collapsed="false">
      <c r="A65" s="5" t="s">
        <v>78</v>
      </c>
      <c r="D65" s="6" t="n">
        <f aca="false">Tablas!B17</f>
        <v>3680</v>
      </c>
    </row>
    <row r="66" customFormat="false" ht="30" hidden="false" customHeight="true" outlineLevel="0" collapsed="false">
      <c r="A66" s="4" t="s">
        <v>79</v>
      </c>
      <c r="B66" s="4" t="s">
        <v>80</v>
      </c>
      <c r="C66" s="4" t="s">
        <v>81</v>
      </c>
      <c r="D66" s="4" t="s">
        <v>82</v>
      </c>
    </row>
    <row r="67" customFormat="false" ht="15" hidden="false" customHeight="false" outlineLevel="0" collapsed="false">
      <c r="A67" s="5" t="s">
        <v>83</v>
      </c>
      <c r="B67" s="20" t="n">
        <f aca="false">D64</f>
        <v>30</v>
      </c>
      <c r="C67" s="12" t="n">
        <f aca="false">Tablas!B19</f>
        <v>1</v>
      </c>
      <c r="D67" s="19" t="n">
        <f aca="false">B67*$D$65*C67</f>
        <v>110400</v>
      </c>
    </row>
    <row r="68" customFormat="false" ht="15" hidden="false" customHeight="false" outlineLevel="0" collapsed="false">
      <c r="A68" s="5" t="s">
        <v>84</v>
      </c>
      <c r="B68" s="20" t="n">
        <f aca="false">D64</f>
        <v>30</v>
      </c>
      <c r="C68" s="12" t="n">
        <f aca="false">Tablas!B20</f>
        <v>0.3</v>
      </c>
      <c r="D68" s="19" t="n">
        <f aca="false">B68*$D$65*C68</f>
        <v>33120</v>
      </c>
    </row>
    <row r="69" customFormat="false" ht="15" hidden="false" customHeight="false" outlineLevel="0" collapsed="false">
      <c r="A69" s="5" t="s">
        <v>85</v>
      </c>
      <c r="B69" s="20" t="n">
        <f aca="false">ROUNDUP(ROUND(D64*Tablas!B18,6),0)</f>
        <v>3</v>
      </c>
      <c r="C69" s="12" t="n">
        <f aca="false">Tablas!B19</f>
        <v>1</v>
      </c>
      <c r="D69" s="19" t="n">
        <f aca="false">B69*$D$65*C69</f>
        <v>11040</v>
      </c>
    </row>
  </sheetData>
  <dataValidations count="7">
    <dataValidation allowBlank="true" errorStyle="stop" operator="between" showDropDown="false" showErrorMessage="false" showInputMessage="false" sqref="D19:D21" type="list">
      <formula1>"CV,kW,W"</formula1>
      <formula2>0</formula2>
    </dataValidation>
    <dataValidation allowBlank="true" errorStyle="stop" operator="between" showDropDown="false" showErrorMessage="false" showInputMessage="false" sqref="D25:D28" type="list">
      <formula1>"CV,kW,W"</formula1>
      <formula2>0</formula2>
    </dataValidation>
    <dataValidation allowBlank="true" errorStyle="stop" operator="between" showDropDown="false" showErrorMessage="false" showInputMessage="false" sqref="B25:B28" type="list">
      <formula1>"Sí,No"</formula1>
      <formula2>0</formula2>
    </dataValidation>
    <dataValidation allowBlank="true" errorStyle="stop" operator="between" showDropDown="false" showErrorMessage="false" showInputMessage="false" sqref="C34:C36" type="list">
      <formula1>"Incandescencia,Fluorescencia/descarga"</formula1>
      <formula2>0</formula2>
    </dataValidation>
    <dataValidation allowBlank="true" errorStyle="stop" operator="between" showDropDown="false" showErrorMessage="false" showInputMessage="false" sqref="B44:B51" type="list">
      <formula1>"Comercial/oficina,Industria"</formula1>
      <formula2>0</formula2>
    </dataValidation>
    <dataValidation allowBlank="true" errorStyle="stop" operator="between" showDropDown="false" showErrorMessage="false" showInputMessage="false" sqref="B57:B59" type="list">
      <formula1>"Natural,Forzada"</formula1>
      <formula2>0</formula2>
    </dataValidation>
    <dataValidation allowBlank="true" errorStyle="stop" operator="between" showDropDown="false" showErrorMessage="false" showInputMessage="false" sqref="B19:B21" type="list">
      <formula1>Tablas!$D$29:$D$34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3" customFormat="false" ht="15" hidden="false" customHeight="false" outlineLevel="0" collapsed="false">
      <c r="A3" s="3" t="s">
        <v>88</v>
      </c>
      <c r="B3" s="3"/>
    </row>
    <row r="4" customFormat="false" ht="15" hidden="false" customHeight="false" outlineLevel="0" collapsed="false">
      <c r="A4" s="5" t="s">
        <v>89</v>
      </c>
      <c r="B4" s="11" t="n">
        <f aca="false">Cálculo!D14</f>
        <v>61556.3636363636</v>
      </c>
    </row>
    <row r="5" customFormat="false" ht="15" hidden="false" customHeight="false" outlineLevel="0" collapsed="false">
      <c r="A5" s="5" t="s">
        <v>90</v>
      </c>
      <c r="B5" s="11" t="n">
        <f aca="false">Cálculo!F39</f>
        <v>8404</v>
      </c>
    </row>
    <row r="6" customFormat="false" ht="15" hidden="false" customHeight="false" outlineLevel="0" collapsed="false">
      <c r="A6" s="5" t="s">
        <v>91</v>
      </c>
      <c r="B6" s="11" t="n">
        <f aca="false">Cálculo!G52</f>
        <v>8450</v>
      </c>
    </row>
    <row r="7" customFormat="false" ht="15" hidden="false" customHeight="false" outlineLevel="0" collapsed="false">
      <c r="A7" s="5" t="s">
        <v>92</v>
      </c>
      <c r="B7" s="11" t="n">
        <f aca="false">Cálculo!F60</f>
        <v>4800</v>
      </c>
    </row>
    <row r="8" customFormat="false" ht="15" hidden="false" customHeight="false" outlineLevel="0" collapsed="false">
      <c r="A8" s="9" t="s">
        <v>93</v>
      </c>
      <c r="B8" s="13" t="n">
        <f aca="false">SUM(B4:B7)</f>
        <v>83210.3636363636</v>
      </c>
    </row>
    <row r="10" customFormat="false" ht="15" hidden="false" customHeight="false" outlineLevel="0" collapsed="false">
      <c r="A10" s="3" t="s">
        <v>94</v>
      </c>
      <c r="B10" s="3"/>
      <c r="C10" s="3"/>
      <c r="D10" s="3"/>
      <c r="E10" s="3"/>
      <c r="F10" s="3"/>
      <c r="G10" s="3"/>
      <c r="H10" s="3"/>
      <c r="I10" s="3"/>
    </row>
    <row r="11" customFormat="false" ht="42" hidden="false" customHeight="true" outlineLevel="0" collapsed="false">
      <c r="A11" s="4" t="s">
        <v>79</v>
      </c>
      <c r="B11" s="4" t="s">
        <v>82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101</v>
      </c>
    </row>
    <row r="12" customFormat="false" ht="15" hidden="false" customHeight="false" outlineLevel="0" collapsed="false">
      <c r="A12" s="5" t="s">
        <v>102</v>
      </c>
      <c r="B12" s="6" t="n">
        <f aca="false">Cálculo!D67</f>
        <v>110400</v>
      </c>
      <c r="C12" s="6" t="n">
        <f aca="false">$B$8+B12</f>
        <v>193610.363636364</v>
      </c>
      <c r="D12" s="21" t="n">
        <f aca="false">C12/(SQRT(3)*Tablas!$B$4*Tablas!$B$5)</f>
        <v>279.45248890839</v>
      </c>
      <c r="E12" s="22" t="n">
        <f aca="false">IF(D12=0,"-",IF(D12&gt;MAX(Tablas!$B$55:$B$69),"&gt; 240",INDEX(Tablas!$A$55:$A$69,COUNTIF(Tablas!$B$55:$B$69,"&lt;"&amp;D12)+1)))</f>
        <v>150</v>
      </c>
      <c r="F12" s="23" t="n">
        <f aca="false">$B$8/(SQRT(3)*Tablas!$B$4*Tablas!$B$5)</f>
        <v>120.103814612053</v>
      </c>
      <c r="G12" s="24" t="n">
        <f aca="false">IF(F12=0,"-",IF(F12&gt;MAX(Tablas!$B$55:$B$69),"&gt; 240",INDEX(Tablas!$A$55:$A$69,COUNTIF(Tablas!$B$55:$B$69,"&lt;"&amp;F12)+1)))</f>
        <v>35</v>
      </c>
      <c r="H12" s="23" t="n">
        <f aca="false">B12/(SQRT(3)*Tablas!$B$4*Tablas!$B$5)</f>
        <v>159.348674296337</v>
      </c>
      <c r="I12" s="24" t="n">
        <f aca="false">IF(H12=0,"-",IF(H12&gt;MAX(Tablas!$B$55:$B$69),"&gt; 240",INDEX(Tablas!$A$55:$A$69,COUNTIF(Tablas!$B$55:$B$69,"&lt;"&amp;H12)+1)))</f>
        <v>70</v>
      </c>
    </row>
    <row r="13" customFormat="false" ht="15" hidden="false" customHeight="false" outlineLevel="0" collapsed="false">
      <c r="A13" s="5" t="s">
        <v>103</v>
      </c>
      <c r="B13" s="6" t="n">
        <f aca="false">Cálculo!D68</f>
        <v>33120</v>
      </c>
      <c r="C13" s="6" t="n">
        <f aca="false">$B$8+B13</f>
        <v>116330.363636364</v>
      </c>
      <c r="D13" s="21" t="n">
        <f aca="false">C13/(SQRT(3)*Tablas!$B$4*Tablas!$B$5)</f>
        <v>167.908416900954</v>
      </c>
      <c r="E13" s="22" t="n">
        <f aca="false">IF(D13=0,"-",IF(D13&gt;MAX(Tablas!$B$55:$B$69),"&gt; 240",INDEX(Tablas!$A$55:$A$69,COUNTIF(Tablas!$B$55:$B$69,"&lt;"&amp;D13)+1)))</f>
        <v>70</v>
      </c>
      <c r="F13" s="23" t="n">
        <f aca="false">$B$8/(SQRT(3)*Tablas!$B$4*Tablas!$B$5)</f>
        <v>120.103814612053</v>
      </c>
      <c r="G13" s="24" t="n">
        <f aca="false">IF(F13=0,"-",IF(F13&gt;MAX(Tablas!$B$55:$B$69),"&gt; 240",INDEX(Tablas!$A$55:$A$69,COUNTIF(Tablas!$B$55:$B$69,"&lt;"&amp;F13)+1)))</f>
        <v>35</v>
      </c>
      <c r="H13" s="23" t="n">
        <f aca="false">B13/(SQRT(3)*Tablas!$B$4*Tablas!$B$5)</f>
        <v>47.804602288901</v>
      </c>
      <c r="I13" s="24" t="n">
        <f aca="false">IF(H13=0,"-",IF(H13&gt;MAX(Tablas!$B$55:$B$69),"&gt; 240",INDEX(Tablas!$A$55:$A$69,COUNTIF(Tablas!$B$55:$B$69,"&lt;"&amp;H13)+1)))</f>
        <v>10</v>
      </c>
    </row>
    <row r="14" customFormat="false" ht="15" hidden="false" customHeight="false" outlineLevel="0" collapsed="false">
      <c r="A14" s="5" t="s">
        <v>104</v>
      </c>
      <c r="B14" s="6" t="n">
        <f aca="false">Cálculo!D69</f>
        <v>11040</v>
      </c>
      <c r="C14" s="6" t="n">
        <f aca="false">$B$8+B14</f>
        <v>94250.3636363636</v>
      </c>
      <c r="D14" s="21" t="n">
        <f aca="false">C14/(SQRT(3)*Tablas!$B$4*Tablas!$B$5)</f>
        <v>136.038682041687</v>
      </c>
      <c r="E14" s="22" t="n">
        <f aca="false">IF(D14=0,"-",IF(D14&gt;MAX(Tablas!$B$55:$B$69),"&gt; 240",INDEX(Tablas!$A$55:$A$69,COUNTIF(Tablas!$B$55:$B$69,"&lt;"&amp;D14)+1)))</f>
        <v>50</v>
      </c>
      <c r="F14" s="23" t="n">
        <f aca="false">$B$8/(SQRT(3)*Tablas!$B$4*Tablas!$B$5)</f>
        <v>120.103814612053</v>
      </c>
      <c r="G14" s="24" t="n">
        <f aca="false">IF(F14=0,"-",IF(F14&gt;MAX(Tablas!$B$55:$B$69),"&gt; 240",INDEX(Tablas!$A$55:$A$69,COUNTIF(Tablas!$B$55:$B$69,"&lt;"&amp;F14)+1)))</f>
        <v>35</v>
      </c>
      <c r="H14" s="23" t="n">
        <f aca="false">B14/(SQRT(3)*Tablas!$B$4*Tablas!$B$5)</f>
        <v>15.9348674296337</v>
      </c>
      <c r="I14" s="24" t="n">
        <f aca="false">IF(H14=0,"-",IF(H14&gt;MAX(Tablas!$B$55:$B$69),"&gt; 240",INDEX(Tablas!$A$55:$A$69,COUNTIF(Tablas!$B$55:$B$69,"&lt;"&amp;H14)+1)))</f>
        <v>1.5</v>
      </c>
    </row>
    <row r="16" customFormat="false" ht="15" hidden="false" customHeight="true" outlineLevel="0" collapsed="false">
      <c r="A16" s="25" t="s">
        <v>105</v>
      </c>
      <c r="B16" s="25"/>
      <c r="C16" s="25"/>
      <c r="D16" s="25"/>
      <c r="E16" s="25"/>
      <c r="F16" s="25"/>
      <c r="G16" s="25"/>
      <c r="H16" s="25"/>
      <c r="I16" s="25"/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25"/>
      <c r="G17" s="25"/>
      <c r="H17" s="25"/>
      <c r="I17" s="25"/>
    </row>
  </sheetData>
  <mergeCells count="1">
    <mergeCell ref="A16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8" min="5" style="0" width="16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3" customFormat="false" ht="15" hidden="false" customHeight="false" outlineLevel="0" collapsed="false">
      <c r="A3" s="3" t="s">
        <v>108</v>
      </c>
      <c r="B3" s="3"/>
    </row>
    <row r="4" customFormat="false" ht="15" hidden="false" customHeight="false" outlineLevel="0" collapsed="false">
      <c r="A4" s="5" t="s">
        <v>109</v>
      </c>
      <c r="B4" s="14" t="n">
        <v>400</v>
      </c>
    </row>
    <row r="5" customFormat="false" ht="15" hidden="false" customHeight="false" outlineLevel="0" collapsed="false">
      <c r="A5" s="5" t="s">
        <v>110</v>
      </c>
      <c r="B5" s="14" t="n">
        <v>1</v>
      </c>
    </row>
    <row r="6" customFormat="false" ht="15" hidden="false" customHeight="false" outlineLevel="0" collapsed="false">
      <c r="A6" s="5" t="s">
        <v>111</v>
      </c>
      <c r="B6" s="14" t="n">
        <v>736</v>
      </c>
    </row>
    <row r="7" customFormat="false" ht="15" hidden="false" customHeight="false" outlineLevel="0" collapsed="false">
      <c r="A7" s="5" t="s">
        <v>112</v>
      </c>
      <c r="B7" s="14" t="n">
        <v>1.3</v>
      </c>
    </row>
    <row r="8" customFormat="false" ht="15" hidden="false" customHeight="false" outlineLevel="0" collapsed="false">
      <c r="A8" s="5" t="s">
        <v>113</v>
      </c>
      <c r="B8" s="14" t="n">
        <v>1.25</v>
      </c>
    </row>
    <row r="9" customFormat="false" ht="15" hidden="false" customHeight="false" outlineLevel="0" collapsed="false">
      <c r="A9" s="5" t="s">
        <v>114</v>
      </c>
      <c r="B9" s="14" t="n">
        <v>1.8</v>
      </c>
    </row>
    <row r="10" customFormat="false" ht="15" hidden="false" customHeight="false" outlineLevel="0" collapsed="false">
      <c r="A10" s="5" t="s">
        <v>115</v>
      </c>
      <c r="B10" s="14" t="n">
        <v>100</v>
      </c>
    </row>
    <row r="11" customFormat="false" ht="15" hidden="false" customHeight="false" outlineLevel="0" collapsed="false">
      <c r="A11" s="5" t="s">
        <v>116</v>
      </c>
      <c r="B11" s="14" t="n">
        <v>3450</v>
      </c>
    </row>
    <row r="12" customFormat="false" ht="15" hidden="false" customHeight="false" outlineLevel="0" collapsed="false">
      <c r="A12" s="5" t="s">
        <v>117</v>
      </c>
      <c r="B12" s="14" t="n">
        <v>125</v>
      </c>
    </row>
    <row r="13" customFormat="false" ht="15" hidden="false" customHeight="false" outlineLevel="0" collapsed="false">
      <c r="A13" s="5" t="s">
        <v>118</v>
      </c>
      <c r="B13" s="14" t="n">
        <v>10350</v>
      </c>
    </row>
    <row r="14" customFormat="false" ht="15" hidden="false" customHeight="false" outlineLevel="0" collapsed="false">
      <c r="A14" s="5" t="s">
        <v>119</v>
      </c>
      <c r="B14" s="14" t="n">
        <v>10</v>
      </c>
    </row>
    <row r="15" customFormat="false" ht="15" hidden="false" customHeight="false" outlineLevel="0" collapsed="false">
      <c r="A15" s="5" t="s">
        <v>120</v>
      </c>
      <c r="B15" s="14" t="n">
        <v>20</v>
      </c>
    </row>
    <row r="16" customFormat="false" ht="15" hidden="false" customHeight="false" outlineLevel="0" collapsed="false">
      <c r="A16" s="5" t="s">
        <v>121</v>
      </c>
      <c r="B16" s="14" t="n">
        <v>3450</v>
      </c>
    </row>
    <row r="17" customFormat="false" ht="15" hidden="false" customHeight="false" outlineLevel="0" collapsed="false">
      <c r="A17" s="5" t="s">
        <v>122</v>
      </c>
      <c r="B17" s="14" t="n">
        <v>3680</v>
      </c>
    </row>
    <row r="18" customFormat="false" ht="15" hidden="false" customHeight="false" outlineLevel="0" collapsed="false">
      <c r="A18" s="5" t="s">
        <v>123</v>
      </c>
      <c r="B18" s="26" t="n">
        <v>0.1</v>
      </c>
    </row>
    <row r="19" customFormat="false" ht="15" hidden="false" customHeight="false" outlineLevel="0" collapsed="false">
      <c r="A19" s="5" t="s">
        <v>124</v>
      </c>
      <c r="B19" s="14" t="n">
        <v>1</v>
      </c>
    </row>
    <row r="20" customFormat="false" ht="15" hidden="false" customHeight="false" outlineLevel="0" collapsed="false">
      <c r="A20" s="5" t="s">
        <v>125</v>
      </c>
      <c r="B20" s="14" t="n">
        <v>0.3</v>
      </c>
    </row>
    <row r="21" customFormat="false" ht="15" hidden="false" customHeight="false" outlineLevel="0" collapsed="false">
      <c r="A21" s="5" t="s">
        <v>126</v>
      </c>
      <c r="B21" s="14" t="n">
        <v>15</v>
      </c>
    </row>
    <row r="22" customFormat="false" ht="15" hidden="false" customHeight="false" outlineLevel="0" collapsed="false">
      <c r="A22" s="5" t="s">
        <v>127</v>
      </c>
      <c r="B22" s="14" t="n">
        <v>8</v>
      </c>
    </row>
    <row r="23" customFormat="false" ht="15" hidden="false" customHeight="false" outlineLevel="0" collapsed="false">
      <c r="A23" s="5" t="s">
        <v>128</v>
      </c>
      <c r="B23" s="14" t="n">
        <v>7</v>
      </c>
    </row>
    <row r="24" customFormat="false" ht="15" hidden="false" customHeight="false" outlineLevel="0" collapsed="false">
      <c r="A24" s="5" t="s">
        <v>129</v>
      </c>
      <c r="B24" s="14" t="n">
        <v>4</v>
      </c>
    </row>
    <row r="25" customFormat="false" ht="15" hidden="false" customHeight="false" outlineLevel="0" collapsed="false">
      <c r="A25" s="5" t="s">
        <v>130</v>
      </c>
      <c r="B25" s="14" t="n">
        <v>0.5</v>
      </c>
    </row>
    <row r="27" customFormat="false" ht="15" hidden="false" customHeight="false" outlineLevel="0" collapsed="false">
      <c r="A27" s="3" t="s">
        <v>131</v>
      </c>
      <c r="B27" s="3"/>
      <c r="D27" s="3" t="s">
        <v>132</v>
      </c>
      <c r="E27" s="27"/>
      <c r="F27" s="27"/>
      <c r="G27" s="27"/>
      <c r="H27" s="27"/>
    </row>
    <row r="28" customFormat="false" ht="30" hidden="false" customHeight="true" outlineLevel="0" collapsed="false">
      <c r="A28" s="4" t="s">
        <v>133</v>
      </c>
      <c r="B28" s="4" t="s">
        <v>134</v>
      </c>
      <c r="D28" s="4" t="s">
        <v>135</v>
      </c>
      <c r="E28" s="4" t="s">
        <v>136</v>
      </c>
      <c r="F28" s="4" t="s">
        <v>137</v>
      </c>
      <c r="G28" s="4" t="s">
        <v>138</v>
      </c>
      <c r="H28" s="4" t="s">
        <v>139</v>
      </c>
    </row>
    <row r="29" customFormat="false" ht="15" hidden="false" customHeight="false" outlineLevel="0" collapsed="false">
      <c r="A29" s="24" t="n">
        <v>1</v>
      </c>
      <c r="B29" s="28" t="n">
        <v>1</v>
      </c>
      <c r="D29" s="5" t="s">
        <v>140</v>
      </c>
      <c r="E29" s="14" t="n">
        <v>400</v>
      </c>
      <c r="F29" s="14" t="n">
        <v>5</v>
      </c>
      <c r="G29" s="14" t="n">
        <v>0.63</v>
      </c>
      <c r="H29" s="14" t="n">
        <v>4.5</v>
      </c>
    </row>
    <row r="30" customFormat="false" ht="15" hidden="false" customHeight="false" outlineLevel="0" collapsed="false">
      <c r="A30" s="24" t="n">
        <v>2</v>
      </c>
      <c r="B30" s="28" t="n">
        <v>2</v>
      </c>
      <c r="D30" s="5" t="s">
        <v>141</v>
      </c>
      <c r="E30" s="14" t="n">
        <v>400</v>
      </c>
      <c r="F30" s="14" t="n">
        <v>5</v>
      </c>
      <c r="G30" s="14" t="n">
        <v>1</v>
      </c>
      <c r="H30" s="14" t="n">
        <v>7.5</v>
      </c>
    </row>
    <row r="31" customFormat="false" ht="15" hidden="false" customHeight="false" outlineLevel="0" collapsed="false">
      <c r="A31" s="24" t="n">
        <v>3</v>
      </c>
      <c r="B31" s="28" t="n">
        <v>3</v>
      </c>
      <c r="D31" s="5" t="s">
        <v>142</v>
      </c>
      <c r="E31" s="14" t="n">
        <v>630</v>
      </c>
      <c r="F31" s="14" t="n">
        <v>8</v>
      </c>
      <c r="G31" s="14" t="n">
        <v>1</v>
      </c>
      <c r="H31" s="14" t="n">
        <v>11.5</v>
      </c>
    </row>
    <row r="32" customFormat="false" ht="15" hidden="false" customHeight="false" outlineLevel="0" collapsed="false">
      <c r="A32" s="24" t="n">
        <v>4</v>
      </c>
      <c r="B32" s="28" t="n">
        <v>3.8</v>
      </c>
      <c r="D32" s="5" t="s">
        <v>143</v>
      </c>
      <c r="E32" s="14" t="n">
        <v>630</v>
      </c>
      <c r="F32" s="14" t="n">
        <v>8</v>
      </c>
      <c r="G32" s="14" t="n">
        <v>1.6</v>
      </c>
      <c r="H32" s="14" t="n">
        <v>18.5</v>
      </c>
    </row>
    <row r="33" customFormat="false" ht="15" hidden="false" customHeight="false" outlineLevel="0" collapsed="false">
      <c r="A33" s="24" t="n">
        <v>5</v>
      </c>
      <c r="B33" s="28" t="n">
        <v>4.6</v>
      </c>
      <c r="D33" s="5" t="s">
        <v>144</v>
      </c>
      <c r="E33" s="14" t="n">
        <v>1000</v>
      </c>
      <c r="F33" s="14" t="n">
        <v>13</v>
      </c>
      <c r="G33" s="14" t="n">
        <v>1.6</v>
      </c>
      <c r="H33" s="14" t="n">
        <v>29.5</v>
      </c>
    </row>
    <row r="34" customFormat="false" ht="15" hidden="false" customHeight="false" outlineLevel="0" collapsed="false">
      <c r="A34" s="24" t="n">
        <v>6</v>
      </c>
      <c r="B34" s="28" t="n">
        <v>5.4</v>
      </c>
      <c r="D34" s="5" t="s">
        <v>145</v>
      </c>
      <c r="E34" s="14" t="n">
        <v>1000</v>
      </c>
      <c r="F34" s="14" t="n">
        <v>13</v>
      </c>
      <c r="G34" s="14" t="n">
        <v>2.5</v>
      </c>
      <c r="H34" s="14" t="n">
        <v>46</v>
      </c>
    </row>
    <row r="35" customFormat="false" ht="15" hidden="false" customHeight="false" outlineLevel="0" collapsed="false">
      <c r="A35" s="24" t="n">
        <v>7</v>
      </c>
      <c r="B35" s="28" t="n">
        <v>6.2</v>
      </c>
    </row>
    <row r="36" customFormat="false" ht="15" hidden="false" customHeight="false" outlineLevel="0" collapsed="false">
      <c r="A36" s="24" t="n">
        <v>8</v>
      </c>
      <c r="B36" s="28" t="n">
        <v>7</v>
      </c>
    </row>
    <row r="37" customFormat="false" ht="15" hidden="false" customHeight="false" outlineLevel="0" collapsed="false">
      <c r="A37" s="24" t="n">
        <v>9</v>
      </c>
      <c r="B37" s="28" t="n">
        <v>7.8</v>
      </c>
    </row>
    <row r="38" customFormat="false" ht="15" hidden="false" customHeight="false" outlineLevel="0" collapsed="false">
      <c r="A38" s="24" t="n">
        <v>10</v>
      </c>
      <c r="B38" s="28" t="n">
        <v>8.5</v>
      </c>
    </row>
    <row r="39" customFormat="false" ht="15" hidden="false" customHeight="false" outlineLevel="0" collapsed="false">
      <c r="A39" s="24" t="n">
        <v>11</v>
      </c>
      <c r="B39" s="28" t="n">
        <v>9.2</v>
      </c>
    </row>
    <row r="40" customFormat="false" ht="15" hidden="false" customHeight="false" outlineLevel="0" collapsed="false">
      <c r="A40" s="24" t="n">
        <v>12</v>
      </c>
      <c r="B40" s="28" t="n">
        <v>9.9</v>
      </c>
    </row>
    <row r="41" customFormat="false" ht="15" hidden="false" customHeight="false" outlineLevel="0" collapsed="false">
      <c r="A41" s="24" t="n">
        <v>13</v>
      </c>
      <c r="B41" s="28" t="n">
        <v>10.6</v>
      </c>
    </row>
    <row r="42" customFormat="false" ht="15" hidden="false" customHeight="false" outlineLevel="0" collapsed="false">
      <c r="A42" s="24" t="n">
        <v>14</v>
      </c>
      <c r="B42" s="28" t="n">
        <v>11.3</v>
      </c>
    </row>
    <row r="43" customFormat="false" ht="15" hidden="false" customHeight="false" outlineLevel="0" collapsed="false">
      <c r="A43" s="24" t="n">
        <v>15</v>
      </c>
      <c r="B43" s="28" t="n">
        <v>11.9</v>
      </c>
    </row>
    <row r="44" customFormat="false" ht="15" hidden="false" customHeight="false" outlineLevel="0" collapsed="false">
      <c r="A44" s="24" t="n">
        <v>16</v>
      </c>
      <c r="B44" s="28" t="n">
        <v>12.5</v>
      </c>
    </row>
    <row r="45" customFormat="false" ht="15" hidden="false" customHeight="false" outlineLevel="0" collapsed="false">
      <c r="A45" s="24" t="n">
        <v>17</v>
      </c>
      <c r="B45" s="28" t="n">
        <v>13.1</v>
      </c>
    </row>
    <row r="46" customFormat="false" ht="15" hidden="false" customHeight="false" outlineLevel="0" collapsed="false">
      <c r="A46" s="24" t="n">
        <v>18</v>
      </c>
      <c r="B46" s="28" t="n">
        <v>13.7</v>
      </c>
    </row>
    <row r="47" customFormat="false" ht="15" hidden="false" customHeight="false" outlineLevel="0" collapsed="false">
      <c r="A47" s="24" t="n">
        <v>19</v>
      </c>
      <c r="B47" s="28" t="n">
        <v>14.3</v>
      </c>
    </row>
    <row r="48" customFormat="false" ht="15" hidden="false" customHeight="false" outlineLevel="0" collapsed="false">
      <c r="A48" s="24" t="n">
        <v>20</v>
      </c>
      <c r="B48" s="28" t="n">
        <v>14.8</v>
      </c>
    </row>
    <row r="49" customFormat="false" ht="15" hidden="false" customHeight="false" outlineLevel="0" collapsed="false">
      <c r="A49" s="24" t="n">
        <v>21</v>
      </c>
      <c r="B49" s="28" t="n">
        <v>15.3</v>
      </c>
    </row>
    <row r="50" customFormat="false" ht="15" hidden="false" customHeight="false" outlineLevel="0" collapsed="false">
      <c r="A50" s="2" t="s">
        <v>146</v>
      </c>
    </row>
    <row r="53" customFormat="false" ht="15" hidden="false" customHeight="false" outlineLevel="0" collapsed="false">
      <c r="A53" s="3" t="s">
        <v>147</v>
      </c>
      <c r="B53" s="3"/>
    </row>
    <row r="54" customFormat="false" ht="30" hidden="false" customHeight="true" outlineLevel="0" collapsed="false">
      <c r="A54" s="4" t="s">
        <v>148</v>
      </c>
      <c r="B54" s="4" t="s">
        <v>149</v>
      </c>
    </row>
    <row r="55" customFormat="false" ht="15" hidden="false" customHeight="false" outlineLevel="0" collapsed="false">
      <c r="A55" s="24" t="n">
        <v>1.5</v>
      </c>
      <c r="B55" s="14" t="n">
        <v>17.5</v>
      </c>
    </row>
    <row r="56" customFormat="false" ht="15" hidden="false" customHeight="false" outlineLevel="0" collapsed="false">
      <c r="A56" s="24" t="n">
        <v>2.5</v>
      </c>
      <c r="B56" s="14" t="n">
        <v>24</v>
      </c>
    </row>
    <row r="57" customFormat="false" ht="15" hidden="false" customHeight="false" outlineLevel="0" collapsed="false">
      <c r="A57" s="24" t="n">
        <v>4</v>
      </c>
      <c r="B57" s="14" t="n">
        <v>32</v>
      </c>
    </row>
    <row r="58" customFormat="false" ht="15" hidden="false" customHeight="false" outlineLevel="0" collapsed="false">
      <c r="A58" s="24" t="n">
        <v>6</v>
      </c>
      <c r="B58" s="14" t="n">
        <v>41</v>
      </c>
    </row>
    <row r="59" customFormat="false" ht="15" hidden="false" customHeight="false" outlineLevel="0" collapsed="false">
      <c r="A59" s="24" t="n">
        <v>10</v>
      </c>
      <c r="B59" s="14" t="n">
        <v>57</v>
      </c>
    </row>
    <row r="60" customFormat="false" ht="15" hidden="false" customHeight="false" outlineLevel="0" collapsed="false">
      <c r="A60" s="24" t="n">
        <v>16</v>
      </c>
      <c r="B60" s="14" t="n">
        <v>77</v>
      </c>
    </row>
    <row r="61" customFormat="false" ht="15" hidden="false" customHeight="false" outlineLevel="0" collapsed="false">
      <c r="A61" s="24" t="n">
        <v>25</v>
      </c>
      <c r="B61" s="14" t="n">
        <v>100</v>
      </c>
    </row>
    <row r="62" customFormat="false" ht="15" hidden="false" customHeight="false" outlineLevel="0" collapsed="false">
      <c r="A62" s="24" t="n">
        <v>35</v>
      </c>
      <c r="B62" s="14" t="n">
        <v>124</v>
      </c>
    </row>
    <row r="63" customFormat="false" ht="15" hidden="false" customHeight="false" outlineLevel="0" collapsed="false">
      <c r="A63" s="24" t="n">
        <v>50</v>
      </c>
      <c r="B63" s="14" t="n">
        <v>151</v>
      </c>
    </row>
    <row r="64" customFormat="false" ht="15" hidden="false" customHeight="false" outlineLevel="0" collapsed="false">
      <c r="A64" s="24" t="n">
        <v>70</v>
      </c>
      <c r="B64" s="14" t="n">
        <v>193</v>
      </c>
    </row>
    <row r="65" customFormat="false" ht="15" hidden="false" customHeight="false" outlineLevel="0" collapsed="false">
      <c r="A65" s="24" t="n">
        <v>95</v>
      </c>
      <c r="B65" s="14" t="n">
        <v>234</v>
      </c>
    </row>
    <row r="66" customFormat="false" ht="15" hidden="false" customHeight="false" outlineLevel="0" collapsed="false">
      <c r="A66" s="24" t="n">
        <v>120</v>
      </c>
      <c r="B66" s="14" t="n">
        <v>272</v>
      </c>
    </row>
    <row r="67" customFormat="false" ht="15" hidden="false" customHeight="false" outlineLevel="0" collapsed="false">
      <c r="A67" s="24" t="n">
        <v>150</v>
      </c>
      <c r="B67" s="14" t="n">
        <v>313</v>
      </c>
    </row>
    <row r="68" customFormat="false" ht="15" hidden="false" customHeight="false" outlineLevel="0" collapsed="false">
      <c r="A68" s="24" t="n">
        <v>185</v>
      </c>
      <c r="B68" s="14" t="n">
        <v>356</v>
      </c>
    </row>
    <row r="69" customFormat="false" ht="15" hidden="false" customHeight="false" outlineLevel="0" collapsed="false">
      <c r="A69" s="24" t="n">
        <v>240</v>
      </c>
      <c r="B69" s="14" t="n">
        <v>419</v>
      </c>
    </row>
    <row r="71" customFormat="false" ht="15" hidden="false" customHeight="true" outlineLevel="0" collapsed="false">
      <c r="A71" s="25" t="s">
        <v>150</v>
      </c>
      <c r="B71" s="25"/>
      <c r="C71" s="25"/>
      <c r="D71" s="25"/>
      <c r="E71" s="25"/>
    </row>
    <row r="72" customFormat="false" ht="15" hidden="false" customHeight="false" outlineLevel="0" collapsed="false">
      <c r="A72" s="25"/>
      <c r="B72" s="25"/>
      <c r="C72" s="25"/>
      <c r="D72" s="25"/>
      <c r="E72" s="25"/>
    </row>
    <row r="73" customFormat="false" ht="15" hidden="false" customHeight="false" outlineLevel="0" collapsed="false">
      <c r="A73" s="25"/>
      <c r="B73" s="25"/>
      <c r="C73" s="25"/>
      <c r="D73" s="25"/>
      <c r="E73" s="25"/>
    </row>
  </sheetData>
  <mergeCells count="1">
    <mergeCell ref="A71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true" outlineLevel="0" collapsed="false">
      <c r="A2" s="25" t="s">
        <v>152</v>
      </c>
      <c r="B2" s="25"/>
      <c r="C2" s="25"/>
      <c r="D2" s="25"/>
      <c r="E2" s="25"/>
      <c r="F2" s="25"/>
    </row>
    <row r="3" customFormat="false" ht="15" hidden="false" customHeight="false" outlineLevel="0" collapsed="false">
      <c r="A3" s="25"/>
      <c r="B3" s="25"/>
      <c r="C3" s="25"/>
      <c r="D3" s="25"/>
      <c r="E3" s="25"/>
      <c r="F3" s="25"/>
    </row>
    <row r="5" customFormat="false" ht="30" hidden="false" customHeight="true" outlineLevel="0" collapsed="false">
      <c r="A5" s="4" t="s">
        <v>153</v>
      </c>
      <c r="B5" s="4" t="s">
        <v>154</v>
      </c>
      <c r="C5" s="4" t="s">
        <v>155</v>
      </c>
      <c r="D5" s="4" t="s">
        <v>156</v>
      </c>
      <c r="E5" s="4" t="s">
        <v>157</v>
      </c>
      <c r="F5" s="4" t="s">
        <v>158</v>
      </c>
    </row>
    <row r="6" customFormat="false" ht="15" hidden="false" customHeight="false" outlineLevel="0" collapsed="false">
      <c r="A6" s="5" t="s">
        <v>159</v>
      </c>
      <c r="B6" s="29" t="n">
        <v>6690.9</v>
      </c>
      <c r="C6" s="11" t="n">
        <f aca="false">Cálculo!D12</f>
        <v>6690.90909090909</v>
      </c>
      <c r="D6" s="11" t="n">
        <f aca="false">C6-B6</f>
        <v>0.00909090909135557</v>
      </c>
      <c r="E6" s="30" t="n">
        <v>0.1</v>
      </c>
      <c r="F6" s="31" t="str">
        <f aca="false">IF(ABS(D6)&lt;=E6,"OK","REVISAR")</f>
        <v>OK</v>
      </c>
    </row>
    <row r="7" customFormat="false" ht="15" hidden="false" customHeight="false" outlineLevel="0" collapsed="false">
      <c r="A7" s="5" t="s">
        <v>160</v>
      </c>
      <c r="B7" s="29" t="n">
        <v>9.2</v>
      </c>
      <c r="C7" s="11" t="n">
        <f aca="false">Cálculo!D13</f>
        <v>9.2</v>
      </c>
      <c r="D7" s="11" t="n">
        <f aca="false">C7-B7</f>
        <v>0</v>
      </c>
      <c r="E7" s="30" t="n">
        <v>0.001</v>
      </c>
      <c r="F7" s="31" t="str">
        <f aca="false">IF(ABS(D7)&lt;=E7,"OK","REVISAR")</f>
        <v>OK</v>
      </c>
    </row>
    <row r="8" customFormat="false" ht="15" hidden="false" customHeight="false" outlineLevel="0" collapsed="false">
      <c r="A8" s="5" t="s">
        <v>161</v>
      </c>
      <c r="B8" s="32" t="n">
        <v>61556</v>
      </c>
      <c r="C8" s="11" t="n">
        <f aca="false">Cálculo!D14</f>
        <v>61556.3636363636</v>
      </c>
      <c r="D8" s="11" t="n">
        <f aca="false">C8-B8</f>
        <v>0.363636363632395</v>
      </c>
      <c r="E8" s="30" t="n">
        <v>1</v>
      </c>
      <c r="F8" s="31" t="str">
        <f aca="false">IF(ABS(D8)&lt;=E8,"OK","REVISAR")</f>
        <v>OK</v>
      </c>
    </row>
    <row r="9" customFormat="false" ht="15" hidden="false" customHeight="false" outlineLevel="0" collapsed="false">
      <c r="A9" s="5" t="s">
        <v>162</v>
      </c>
      <c r="B9" s="32" t="n">
        <v>4784</v>
      </c>
      <c r="C9" s="11" t="n">
        <f aca="false">Cálculo!F19</f>
        <v>4784</v>
      </c>
      <c r="D9" s="11" t="n">
        <f aca="false">C9-B9</f>
        <v>0</v>
      </c>
      <c r="E9" s="30" t="n">
        <v>0.5</v>
      </c>
      <c r="F9" s="31" t="str">
        <f aca="false">IF(ABS(D9)&lt;=E9,"OK","REVISAR")</f>
        <v>OK</v>
      </c>
    </row>
    <row r="10" customFormat="false" ht="15" hidden="false" customHeight="false" outlineLevel="0" collapsed="false">
      <c r="A10" s="5" t="s">
        <v>163</v>
      </c>
      <c r="B10" s="32" t="n">
        <v>920</v>
      </c>
      <c r="C10" s="11" t="n">
        <f aca="false">Cálculo!E31</f>
        <v>920</v>
      </c>
      <c r="D10" s="11" t="n">
        <f aca="false">C10-B10</f>
        <v>0</v>
      </c>
      <c r="E10" s="30" t="n">
        <v>0.5</v>
      </c>
      <c r="F10" s="31" t="str">
        <f aca="false">IF(ABS(D10)&lt;=E10,"OK","REVISAR")</f>
        <v>OK</v>
      </c>
    </row>
    <row r="11" customFormat="false" ht="15" hidden="false" customHeight="false" outlineLevel="0" collapsed="false">
      <c r="A11" s="5" t="s">
        <v>164</v>
      </c>
      <c r="B11" s="32" t="n">
        <v>2700</v>
      </c>
      <c r="C11" s="11" t="n">
        <f aca="false">Cálculo!F37</f>
        <v>2700</v>
      </c>
      <c r="D11" s="11" t="n">
        <f aca="false">C11-B11</f>
        <v>0</v>
      </c>
      <c r="E11" s="30" t="n">
        <v>0.5</v>
      </c>
      <c r="F11" s="31" t="str">
        <f aca="false">IF(ABS(D11)&lt;=E11,"OK","REVISAR")</f>
        <v>OK</v>
      </c>
    </row>
    <row r="12" customFormat="false" ht="15" hidden="false" customHeight="false" outlineLevel="0" collapsed="false">
      <c r="A12" s="5" t="s">
        <v>90</v>
      </c>
      <c r="B12" s="32" t="n">
        <v>8404</v>
      </c>
      <c r="C12" s="11" t="n">
        <f aca="false">Cálculo!F39</f>
        <v>8404</v>
      </c>
      <c r="D12" s="11" t="n">
        <f aca="false">C12-B12</f>
        <v>0</v>
      </c>
      <c r="E12" s="30" t="n">
        <v>0.5</v>
      </c>
      <c r="F12" s="31" t="str">
        <f aca="false">IF(ABS(D12)&lt;=E12,"OK","REVISAR")</f>
        <v>OK</v>
      </c>
    </row>
    <row r="13" customFormat="false" ht="15" hidden="false" customHeight="false" outlineLevel="0" collapsed="false">
      <c r="A13" s="5" t="s">
        <v>165</v>
      </c>
      <c r="B13" s="32" t="n">
        <v>8450</v>
      </c>
      <c r="C13" s="11" t="n">
        <f aca="false">Cálculo!G52</f>
        <v>8450</v>
      </c>
      <c r="D13" s="11" t="n">
        <f aca="false">C13-B13</f>
        <v>0</v>
      </c>
      <c r="E13" s="30" t="n">
        <v>0.5</v>
      </c>
      <c r="F13" s="31" t="str">
        <f aca="false">IF(ABS(D13)&lt;=E13,"OK","REVISAR")</f>
        <v>OK</v>
      </c>
    </row>
    <row r="14" customFormat="false" ht="15" hidden="false" customHeight="false" outlineLevel="0" collapsed="false">
      <c r="A14" s="5" t="s">
        <v>166</v>
      </c>
      <c r="B14" s="32" t="n">
        <v>4800</v>
      </c>
      <c r="C14" s="11" t="n">
        <f aca="false">Cálculo!F60</f>
        <v>4800</v>
      </c>
      <c r="D14" s="11" t="n">
        <f aca="false">C14-B14</f>
        <v>0</v>
      </c>
      <c r="E14" s="30" t="n">
        <v>0.5</v>
      </c>
      <c r="F14" s="31" t="str">
        <f aca="false">IF(ABS(D14)&lt;=E14,"OK","REVISAR")</f>
        <v>OK</v>
      </c>
    </row>
    <row r="15" customFormat="false" ht="15" hidden="false" customHeight="false" outlineLevel="0" collapsed="false">
      <c r="A15" s="5" t="s">
        <v>167</v>
      </c>
      <c r="B15" s="32" t="n">
        <v>83210</v>
      </c>
      <c r="C15" s="11" t="n">
        <f aca="false">Resumen!B8</f>
        <v>83210.3636363636</v>
      </c>
      <c r="D15" s="11" t="n">
        <f aca="false">C15-B15</f>
        <v>0.363636363632395</v>
      </c>
      <c r="E15" s="30" t="n">
        <v>1</v>
      </c>
      <c r="F15" s="31" t="str">
        <f aca="false">IF(ABS(D15)&lt;=E15,"OK","REVISAR")</f>
        <v>OK</v>
      </c>
    </row>
    <row r="16" customFormat="false" ht="15" hidden="false" customHeight="false" outlineLevel="0" collapsed="false">
      <c r="A16" s="5" t="s">
        <v>168</v>
      </c>
      <c r="B16" s="32" t="n">
        <v>110400</v>
      </c>
      <c r="C16" s="11" t="n">
        <f aca="false">Resumen!B12</f>
        <v>110400</v>
      </c>
      <c r="D16" s="11" t="n">
        <f aca="false">C16-B16</f>
        <v>0</v>
      </c>
      <c r="E16" s="30" t="n">
        <v>0.5</v>
      </c>
      <c r="F16" s="31" t="str">
        <f aca="false">IF(ABS(D16)&lt;=E16,"OK","REVISAR")</f>
        <v>OK</v>
      </c>
    </row>
    <row r="17" customFormat="false" ht="15" hidden="false" customHeight="false" outlineLevel="0" collapsed="false">
      <c r="A17" s="5" t="s">
        <v>169</v>
      </c>
      <c r="B17" s="32" t="n">
        <v>33120</v>
      </c>
      <c r="C17" s="11" t="n">
        <f aca="false">Resumen!B13</f>
        <v>33120</v>
      </c>
      <c r="D17" s="11" t="n">
        <f aca="false">C17-B17</f>
        <v>0</v>
      </c>
      <c r="E17" s="30" t="n">
        <v>0.5</v>
      </c>
      <c r="F17" s="31" t="str">
        <f aca="false">IF(ABS(D17)&lt;=E17,"OK","REVISAR")</f>
        <v>OK</v>
      </c>
    </row>
    <row r="18" customFormat="false" ht="15" hidden="false" customHeight="false" outlineLevel="0" collapsed="false">
      <c r="A18" s="5" t="s">
        <v>170</v>
      </c>
      <c r="B18" s="32" t="n">
        <v>11040</v>
      </c>
      <c r="C18" s="11" t="n">
        <f aca="false">Resumen!B14</f>
        <v>11040</v>
      </c>
      <c r="D18" s="11" t="n">
        <f aca="false">C18-B18</f>
        <v>0</v>
      </c>
      <c r="E18" s="30" t="n">
        <v>0.5</v>
      </c>
      <c r="F18" s="31" t="str">
        <f aca="false">IF(ABS(D18)&lt;=E18,"OK","REVISAR")</f>
        <v>OK</v>
      </c>
    </row>
    <row r="19" customFormat="false" ht="15" hidden="false" customHeight="false" outlineLevel="0" collapsed="false">
      <c r="A19" s="5" t="s">
        <v>171</v>
      </c>
      <c r="B19" s="32" t="n">
        <v>193610</v>
      </c>
      <c r="C19" s="11" t="n">
        <f aca="false">Resumen!C12</f>
        <v>193610.363636364</v>
      </c>
      <c r="D19" s="11" t="n">
        <f aca="false">C19-B19</f>
        <v>0.363636363646947</v>
      </c>
      <c r="E19" s="30" t="n">
        <v>1</v>
      </c>
      <c r="F19" s="31" t="str">
        <f aca="false">IF(ABS(D19)&lt;=E19,"OK","REVISAR")</f>
        <v>OK</v>
      </c>
    </row>
    <row r="20" customFormat="false" ht="15" hidden="false" customHeight="false" outlineLevel="0" collapsed="false">
      <c r="A20" s="5" t="s">
        <v>172</v>
      </c>
      <c r="B20" s="32" t="n">
        <v>116330</v>
      </c>
      <c r="C20" s="11" t="n">
        <f aca="false">Resumen!C13</f>
        <v>116330.363636364</v>
      </c>
      <c r="D20" s="11" t="n">
        <f aca="false">C20-B20</f>
        <v>0.363636363632395</v>
      </c>
      <c r="E20" s="30" t="n">
        <v>1</v>
      </c>
      <c r="F20" s="31" t="str">
        <f aca="false">IF(ABS(D20)&lt;=E20,"OK","REVISAR")</f>
        <v>OK</v>
      </c>
    </row>
    <row r="21" customFormat="false" ht="15" hidden="false" customHeight="false" outlineLevel="0" collapsed="false">
      <c r="A21" s="5" t="s">
        <v>173</v>
      </c>
      <c r="B21" s="32" t="n">
        <v>94250</v>
      </c>
      <c r="C21" s="11" t="n">
        <f aca="false">Resumen!C14</f>
        <v>94250.3636363636</v>
      </c>
      <c r="D21" s="11" t="n">
        <f aca="false">C21-B21</f>
        <v>0.363636363632395</v>
      </c>
      <c r="E21" s="30" t="n">
        <v>1</v>
      </c>
      <c r="F21" s="31" t="str">
        <f aca="false">IF(ABS(D21)&lt;=E21,"OK","REVISAR")</f>
        <v>OK</v>
      </c>
    </row>
    <row r="22" customFormat="false" ht="15" hidden="false" customHeight="false" outlineLevel="0" collapsed="false">
      <c r="A22" s="5" t="s">
        <v>174</v>
      </c>
      <c r="B22" s="32" t="n">
        <v>279</v>
      </c>
      <c r="C22" s="11" t="n">
        <f aca="false">Resumen!D12</f>
        <v>279.45248890839</v>
      </c>
      <c r="D22" s="11" t="n">
        <f aca="false">C22-B22</f>
        <v>0.452488908389739</v>
      </c>
      <c r="E22" s="30" t="n">
        <v>0.5</v>
      </c>
      <c r="F22" s="31" t="str">
        <f aca="false">IF(ABS(D22)&lt;=E22,"OK","REVISAR")</f>
        <v>OK</v>
      </c>
    </row>
    <row r="23" customFormat="false" ht="15" hidden="false" customHeight="false" outlineLevel="0" collapsed="false">
      <c r="A23" s="5" t="s">
        <v>175</v>
      </c>
      <c r="B23" s="32" t="n">
        <v>159</v>
      </c>
      <c r="C23" s="11" t="n">
        <f aca="false">Resumen!H12</f>
        <v>159.348674296337</v>
      </c>
      <c r="D23" s="11" t="n">
        <f aca="false">C23-B23</f>
        <v>0.348674296336725</v>
      </c>
      <c r="E23" s="30" t="n">
        <v>0.5</v>
      </c>
      <c r="F23" s="31" t="str">
        <f aca="false">IF(ABS(D23)&lt;=E23,"OK","REVISAR")</f>
        <v>OK</v>
      </c>
    </row>
    <row r="24" customFormat="false" ht="15" hidden="false" customHeight="false" outlineLevel="0" collapsed="false">
      <c r="A24" s="5" t="s">
        <v>176</v>
      </c>
      <c r="B24" s="32" t="n">
        <v>120</v>
      </c>
      <c r="C24" s="11" t="n">
        <f aca="false">Resumen!F12</f>
        <v>120.103814612053</v>
      </c>
      <c r="D24" s="11" t="n">
        <f aca="false">C24-B24</f>
        <v>0.103814612052972</v>
      </c>
      <c r="E24" s="30" t="n">
        <v>0.5</v>
      </c>
      <c r="F24" s="31" t="str">
        <f aca="false">IF(ABS(D24)&lt;=E24,"OK","REVISAR")</f>
        <v>OK</v>
      </c>
    </row>
    <row r="25" customFormat="false" ht="15" hidden="false" customHeight="false" outlineLevel="0" collapsed="false">
      <c r="A25" s="5" t="s">
        <v>177</v>
      </c>
      <c r="B25" s="32" t="n">
        <v>168</v>
      </c>
      <c r="C25" s="11" t="n">
        <f aca="false">Resumen!D13</f>
        <v>167.908416900954</v>
      </c>
      <c r="D25" s="11" t="n">
        <f aca="false">C25-B25</f>
        <v>-0.0915830990460052</v>
      </c>
      <c r="E25" s="30" t="n">
        <v>0.5</v>
      </c>
      <c r="F25" s="31" t="str">
        <f aca="false">IF(ABS(D25)&lt;=E25,"OK","REVISAR")</f>
        <v>OK</v>
      </c>
    </row>
    <row r="26" customFormat="false" ht="15" hidden="false" customHeight="false" outlineLevel="0" collapsed="false">
      <c r="A26" s="5" t="s">
        <v>178</v>
      </c>
      <c r="B26" s="32" t="n">
        <v>136</v>
      </c>
      <c r="C26" s="11" t="n">
        <f aca="false">Resumen!D14</f>
        <v>136.038682041687</v>
      </c>
      <c r="D26" s="11" t="n">
        <f aca="false">C26-B26</f>
        <v>0.0386820416866556</v>
      </c>
      <c r="E26" s="30" t="n">
        <v>0.5</v>
      </c>
      <c r="F26" s="31" t="str">
        <f aca="false">IF(ABS(D26)&lt;=E26,"OK","REVISAR")</f>
        <v>OK</v>
      </c>
    </row>
    <row r="27" customFormat="false" ht="15" hidden="false" customHeight="false" outlineLevel="0" collapsed="false">
      <c r="A27" s="5" t="s">
        <v>179</v>
      </c>
      <c r="B27" s="32" t="n">
        <v>70</v>
      </c>
      <c r="C27" s="11" t="n">
        <f aca="false">Resumen!I12</f>
        <v>70</v>
      </c>
      <c r="D27" s="11" t="n">
        <f aca="false">C27-B27</f>
        <v>0</v>
      </c>
      <c r="E27" s="30" t="n">
        <v>0</v>
      </c>
      <c r="F27" s="31" t="str">
        <f aca="false">IF(ABS(D27)&lt;=E27,"OK","REVISAR")</f>
        <v>OK</v>
      </c>
    </row>
    <row r="28" customFormat="false" ht="15" hidden="false" customHeight="false" outlineLevel="0" collapsed="false">
      <c r="A28" s="5" t="s">
        <v>180</v>
      </c>
      <c r="B28" s="32" t="n">
        <v>35</v>
      </c>
      <c r="C28" s="11" t="n">
        <f aca="false">Resumen!G12</f>
        <v>35</v>
      </c>
      <c r="D28" s="11" t="n">
        <f aca="false">C28-B28</f>
        <v>0</v>
      </c>
      <c r="E28" s="30" t="n">
        <v>0</v>
      </c>
      <c r="F28" s="31" t="str">
        <f aca="false">IF(ABS(D28)&lt;=E28,"OK","REVISAR")</f>
        <v>OK</v>
      </c>
    </row>
    <row r="29" customFormat="false" ht="15" hidden="false" customHeight="false" outlineLevel="0" collapsed="false">
      <c r="A29" s="5" t="s">
        <v>181</v>
      </c>
      <c r="B29" s="32" t="n">
        <v>70</v>
      </c>
      <c r="C29" s="11" t="n">
        <f aca="false">Resumen!E13</f>
        <v>70</v>
      </c>
      <c r="D29" s="11" t="n">
        <f aca="false">C29-B29</f>
        <v>0</v>
      </c>
      <c r="E29" s="30" t="n">
        <v>0</v>
      </c>
      <c r="F29" s="31" t="str">
        <f aca="false">IF(ABS(D29)&lt;=E29,"OK","REVISAR")</f>
        <v>OK</v>
      </c>
    </row>
    <row r="30" customFormat="false" ht="15" hidden="false" customHeight="false" outlineLevel="0" collapsed="false">
      <c r="A30" s="5" t="s">
        <v>182</v>
      </c>
      <c r="B30" s="32" t="n">
        <v>50</v>
      </c>
      <c r="C30" s="11" t="n">
        <f aca="false">Resumen!E14</f>
        <v>50</v>
      </c>
      <c r="D30" s="11" t="n">
        <f aca="false">C30-B30</f>
        <v>0</v>
      </c>
      <c r="E30" s="30" t="n">
        <v>0</v>
      </c>
      <c r="F30" s="31" t="str">
        <f aca="false">IF(ABS(D30)&lt;=E30,"OK","REVISAR")</f>
        <v>OK</v>
      </c>
    </row>
    <row r="32" customFormat="false" ht="15" hidden="false" customHeight="false" outlineLevel="0" collapsed="false">
      <c r="A32" s="9" t="s">
        <v>183</v>
      </c>
      <c r="B32" s="33" t="str">
        <f aca="false">IF(COUNTIF(F6:F30,"REVISAR")=0,"TODO OK ("&amp;COUNTIF(F6:F30,"OK")&amp;" de "&amp;ROWS(F6:F30)&amp;")",COUNTIF(F6:F30,"REVISAR")&amp;" valores a revisar")</f>
        <v>TODO OK (25 de 25)</v>
      </c>
      <c r="C32" s="33"/>
      <c r="D32" s="33"/>
    </row>
    <row r="34" customFormat="false" ht="15" hidden="false" customHeight="true" outlineLevel="0" collapsed="false">
      <c r="A34" s="25" t="s">
        <v>184</v>
      </c>
      <c r="B34" s="25"/>
      <c r="C34" s="25"/>
      <c r="D34" s="25"/>
      <c r="E34" s="25"/>
      <c r="F34" s="25"/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25"/>
    </row>
  </sheetData>
  <mergeCells count="3">
    <mergeCell ref="A2:F3"/>
    <mergeCell ref="B32:D32"/>
    <mergeCell ref="A34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185</v>
      </c>
    </row>
    <row r="3" customFormat="false" ht="48" hidden="false" customHeight="true" outlineLevel="0" collapsed="false">
      <c r="A3" s="34" t="s">
        <v>186</v>
      </c>
    </row>
    <row r="4" customFormat="false" ht="48" hidden="false" customHeight="true" outlineLevel="0" collapsed="false">
      <c r="A4" s="34" t="s">
        <v>187</v>
      </c>
    </row>
    <row r="5" customFormat="false" ht="48" hidden="false" customHeight="true" outlineLevel="0" collapsed="false">
      <c r="A5" s="34" t="s">
        <v>188</v>
      </c>
    </row>
    <row r="6" customFormat="false" ht="48" hidden="false" customHeight="true" outlineLevel="0" collapsed="false">
      <c r="A6" s="34" t="s">
        <v>189</v>
      </c>
    </row>
    <row r="7" customFormat="false" ht="48" hidden="false" customHeight="true" outlineLevel="0" collapsed="false">
      <c r="A7" s="34" t="s">
        <v>190</v>
      </c>
    </row>
    <row r="8" customFormat="false" ht="48" hidden="false" customHeight="true" outlineLevel="0" collapsed="false">
      <c r="A8" s="34" t="s">
        <v>191</v>
      </c>
    </row>
    <row r="9" customFormat="false" ht="48" hidden="false" customHeight="true" outlineLevel="0" collapsed="false">
      <c r="A9" s="34" t="s">
        <v>192</v>
      </c>
    </row>
    <row r="10" customFormat="false" ht="48" hidden="false" customHeight="true" outlineLevel="0" collapsed="false">
      <c r="A10" s="34" t="s">
        <v>193</v>
      </c>
    </row>
    <row r="11" customFormat="false" ht="48" hidden="false" customHeight="true" outlineLevel="0" collapsed="false">
      <c r="A11" s="34" t="s">
        <v>194</v>
      </c>
    </row>
    <row r="12" customFormat="false" ht="48" hidden="false" customHeight="true" outlineLevel="0" collapsed="false">
      <c r="A12" s="34" t="s">
        <v>195</v>
      </c>
    </row>
    <row r="13" customFormat="false" ht="48" hidden="false" customHeight="true" outlineLevel="0" collapsed="false">
      <c r="A13" s="34" t="s">
        <v>196</v>
      </c>
    </row>
    <row r="14" customFormat="false" ht="48" hidden="false" customHeight="true" outlineLevel="0" collapsed="false">
      <c r="A14" s="34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2026-10-01T20:48:34Z</dcterms:created>
  <dc:creator>openpyxl</dc:creator>
  <dc:description/>
  <dc:language>en-US</dc:language>
  <cp:lastModifiedBy/>
  <dcterms:modified xsi:type="dcterms:W3CDTF">2026-10-01T20:48:34Z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